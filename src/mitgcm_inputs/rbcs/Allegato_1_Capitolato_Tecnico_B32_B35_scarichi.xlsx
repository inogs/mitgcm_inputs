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/>
  <mc:AlternateContent xmlns:mc="http://schemas.openxmlformats.org/markup-compatibility/2006">
    <mc:Choice Requires="x15">
      <x15ac:absPath xmlns:x15ac="http://schemas.microsoft.com/office/spreadsheetml/2010/11/ac" url="/Users/gcossarini/Downloads/"/>
    </mc:Choice>
  </mc:AlternateContent>
  <xr:revisionPtr revIDLastSave="0" documentId="13_ncr:1_{1949B104-BB83-264E-AFFD-B14A075A2397}" xr6:coauthVersionLast="47" xr6:coauthVersionMax="47" xr10:uidLastSave="{00000000-0000-0000-0000-000000000000}"/>
  <bookViews>
    <workbookView xWindow="880" yWindow="500" windowWidth="46840" windowHeight="28300" tabRatio="500" xr2:uid="{00000000-000D-0000-FFFF-FFFF00000000}"/>
  </bookViews>
  <sheets>
    <sheet name="Table 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237" i="1" l="1"/>
  <c r="L237" i="1"/>
  <c r="M236" i="1"/>
  <c r="L236" i="1"/>
  <c r="M235" i="1"/>
  <c r="L235" i="1"/>
  <c r="M234" i="1"/>
  <c r="L234" i="1"/>
  <c r="M233" i="1"/>
  <c r="L233" i="1"/>
  <c r="M232" i="1"/>
  <c r="L232" i="1"/>
  <c r="M231" i="1"/>
  <c r="L231" i="1"/>
  <c r="M230" i="1"/>
  <c r="L230" i="1"/>
  <c r="M229" i="1"/>
  <c r="L229" i="1"/>
  <c r="M228" i="1"/>
  <c r="L228" i="1"/>
  <c r="M227" i="1"/>
  <c r="L227" i="1"/>
  <c r="M226" i="1"/>
  <c r="L226" i="1"/>
  <c r="M225" i="1"/>
  <c r="L225" i="1"/>
  <c r="M224" i="1"/>
  <c r="L224" i="1"/>
  <c r="M223" i="1"/>
  <c r="L223" i="1"/>
  <c r="M222" i="1"/>
  <c r="L222" i="1"/>
  <c r="M221" i="1"/>
  <c r="L221" i="1"/>
  <c r="M220" i="1"/>
  <c r="L220" i="1"/>
  <c r="M219" i="1"/>
  <c r="L219" i="1"/>
  <c r="M218" i="1"/>
  <c r="L218" i="1"/>
  <c r="M217" i="1"/>
  <c r="L217" i="1"/>
  <c r="M216" i="1"/>
  <c r="L216" i="1"/>
  <c r="M215" i="1"/>
  <c r="L215" i="1"/>
  <c r="M214" i="1"/>
  <c r="L214" i="1"/>
  <c r="M213" i="1"/>
  <c r="L213" i="1"/>
  <c r="M212" i="1"/>
  <c r="L212" i="1"/>
  <c r="M211" i="1"/>
  <c r="L211" i="1"/>
  <c r="M210" i="1"/>
  <c r="L210" i="1"/>
  <c r="M209" i="1"/>
  <c r="L209" i="1"/>
  <c r="M208" i="1"/>
  <c r="L208" i="1"/>
  <c r="M207" i="1"/>
  <c r="L207" i="1"/>
  <c r="M206" i="1"/>
  <c r="L206" i="1"/>
  <c r="M205" i="1"/>
  <c r="L205" i="1"/>
  <c r="M204" i="1"/>
  <c r="L204" i="1"/>
  <c r="M203" i="1"/>
  <c r="L203" i="1"/>
  <c r="M202" i="1"/>
  <c r="L202" i="1"/>
  <c r="M201" i="1"/>
  <c r="L201" i="1"/>
  <c r="M200" i="1"/>
  <c r="L200" i="1"/>
  <c r="M199" i="1"/>
  <c r="L199" i="1"/>
  <c r="M198" i="1"/>
  <c r="L198" i="1"/>
  <c r="M197" i="1"/>
  <c r="L197" i="1"/>
  <c r="M196" i="1"/>
  <c r="L196" i="1"/>
  <c r="M195" i="1"/>
  <c r="L195" i="1"/>
  <c r="M194" i="1"/>
  <c r="L194" i="1"/>
  <c r="M193" i="1"/>
  <c r="L193" i="1"/>
  <c r="M192" i="1"/>
  <c r="L192" i="1"/>
  <c r="M191" i="1"/>
  <c r="L191" i="1"/>
  <c r="M190" i="1"/>
  <c r="L190" i="1"/>
  <c r="M189" i="1"/>
  <c r="L189" i="1"/>
  <c r="M188" i="1"/>
  <c r="L188" i="1"/>
  <c r="M187" i="1"/>
  <c r="L187" i="1"/>
  <c r="M186" i="1"/>
  <c r="L186" i="1"/>
  <c r="M185" i="1"/>
  <c r="L185" i="1"/>
  <c r="M184" i="1"/>
  <c r="L184" i="1"/>
  <c r="M183" i="1"/>
  <c r="L183" i="1"/>
  <c r="M182" i="1"/>
  <c r="L182" i="1"/>
  <c r="M181" i="1"/>
  <c r="L181" i="1"/>
  <c r="M180" i="1"/>
  <c r="L180" i="1"/>
  <c r="M179" i="1"/>
  <c r="L179" i="1"/>
  <c r="M178" i="1"/>
  <c r="L178" i="1"/>
  <c r="M177" i="1"/>
  <c r="L177" i="1"/>
  <c r="M176" i="1"/>
  <c r="L176" i="1"/>
  <c r="M175" i="1"/>
  <c r="L175" i="1"/>
  <c r="M174" i="1"/>
  <c r="L174" i="1"/>
  <c r="M173" i="1"/>
  <c r="L173" i="1"/>
  <c r="M172" i="1"/>
  <c r="L172" i="1"/>
  <c r="M171" i="1"/>
  <c r="L171" i="1"/>
  <c r="M170" i="1"/>
  <c r="L170" i="1"/>
  <c r="M169" i="1"/>
  <c r="L169" i="1"/>
  <c r="M168" i="1"/>
  <c r="L168" i="1"/>
  <c r="M167" i="1"/>
  <c r="L167" i="1"/>
  <c r="M166" i="1"/>
  <c r="L166" i="1"/>
  <c r="M165" i="1"/>
  <c r="L165" i="1"/>
  <c r="M164" i="1"/>
  <c r="L164" i="1"/>
  <c r="M163" i="1"/>
  <c r="L163" i="1"/>
  <c r="M162" i="1"/>
  <c r="L162" i="1"/>
  <c r="M161" i="1"/>
  <c r="L161" i="1"/>
  <c r="M160" i="1"/>
  <c r="L160" i="1"/>
  <c r="M159" i="1"/>
  <c r="L159" i="1"/>
  <c r="M158" i="1"/>
  <c r="L158" i="1"/>
  <c r="M157" i="1"/>
  <c r="L157" i="1"/>
  <c r="M156" i="1"/>
  <c r="L156" i="1"/>
  <c r="M155" i="1"/>
  <c r="L155" i="1"/>
  <c r="M154" i="1"/>
  <c r="L154" i="1"/>
  <c r="M153" i="1"/>
  <c r="L153" i="1"/>
  <c r="M152" i="1"/>
  <c r="L152" i="1"/>
  <c r="M151" i="1"/>
  <c r="L151" i="1"/>
  <c r="M150" i="1"/>
  <c r="L150" i="1"/>
  <c r="M149" i="1"/>
  <c r="L149" i="1"/>
  <c r="M148" i="1"/>
  <c r="L148" i="1"/>
  <c r="M147" i="1"/>
  <c r="L147" i="1"/>
  <c r="M146" i="1"/>
  <c r="L146" i="1"/>
  <c r="M145" i="1"/>
  <c r="L145" i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M81" i="1"/>
  <c r="L81" i="1"/>
  <c r="M80" i="1"/>
  <c r="L80" i="1"/>
  <c r="M79" i="1"/>
  <c r="L79" i="1"/>
  <c r="M78" i="1"/>
  <c r="L78" i="1"/>
  <c r="M77" i="1"/>
  <c r="L77" i="1"/>
  <c r="M76" i="1"/>
  <c r="L76" i="1"/>
  <c r="M75" i="1"/>
  <c r="L75" i="1"/>
  <c r="M74" i="1"/>
  <c r="L74" i="1"/>
  <c r="M73" i="1"/>
  <c r="L73" i="1"/>
  <c r="M72" i="1"/>
  <c r="L72" i="1"/>
  <c r="M71" i="1"/>
  <c r="L71" i="1"/>
  <c r="M70" i="1"/>
  <c r="L70" i="1"/>
  <c r="M69" i="1"/>
  <c r="L69" i="1"/>
  <c r="M68" i="1"/>
  <c r="L68" i="1"/>
  <c r="M67" i="1"/>
  <c r="L67" i="1"/>
  <c r="M66" i="1"/>
  <c r="L66" i="1"/>
  <c r="M65" i="1"/>
  <c r="L65" i="1"/>
  <c r="M64" i="1"/>
  <c r="L64" i="1"/>
  <c r="M63" i="1"/>
  <c r="L63" i="1"/>
  <c r="M62" i="1"/>
  <c r="L62" i="1"/>
  <c r="M61" i="1"/>
  <c r="L61" i="1"/>
  <c r="M60" i="1"/>
  <c r="L60" i="1"/>
  <c r="M59" i="1"/>
  <c r="L59" i="1"/>
  <c r="M58" i="1"/>
  <c r="L58" i="1"/>
  <c r="M57" i="1"/>
  <c r="L57" i="1"/>
  <c r="M56" i="1"/>
  <c r="L56" i="1"/>
  <c r="M55" i="1"/>
  <c r="L55" i="1"/>
  <c r="M54" i="1"/>
  <c r="L54" i="1"/>
  <c r="M53" i="1"/>
  <c r="L53" i="1"/>
  <c r="M52" i="1"/>
  <c r="L52" i="1"/>
  <c r="M51" i="1"/>
  <c r="L51" i="1"/>
  <c r="M50" i="1"/>
  <c r="L50" i="1"/>
  <c r="M49" i="1"/>
  <c r="L49" i="1"/>
  <c r="M48" i="1"/>
  <c r="L48" i="1"/>
  <c r="M47" i="1"/>
  <c r="L47" i="1"/>
  <c r="M46" i="1"/>
  <c r="L46" i="1"/>
  <c r="M45" i="1"/>
  <c r="L45" i="1"/>
  <c r="M44" i="1"/>
  <c r="L44" i="1"/>
  <c r="M43" i="1"/>
  <c r="L43" i="1"/>
  <c r="M42" i="1"/>
  <c r="L42" i="1"/>
  <c r="M41" i="1"/>
  <c r="L41" i="1"/>
  <c r="M40" i="1"/>
  <c r="L40" i="1"/>
  <c r="M39" i="1"/>
  <c r="L39" i="1"/>
  <c r="M38" i="1"/>
  <c r="L38" i="1"/>
  <c r="M37" i="1"/>
  <c r="L37" i="1"/>
  <c r="M36" i="1"/>
  <c r="L36" i="1"/>
  <c r="M35" i="1"/>
  <c r="L35" i="1"/>
  <c r="M34" i="1"/>
  <c r="L34" i="1"/>
  <c r="M33" i="1"/>
  <c r="L33" i="1"/>
  <c r="M32" i="1"/>
  <c r="L32" i="1"/>
  <c r="M31" i="1"/>
  <c r="L31" i="1"/>
  <c r="M30" i="1"/>
  <c r="L30" i="1"/>
  <c r="M29" i="1"/>
  <c r="L29" i="1"/>
  <c r="M28" i="1"/>
  <c r="L28" i="1"/>
  <c r="M27" i="1"/>
  <c r="L27" i="1"/>
  <c r="M26" i="1"/>
  <c r="L26" i="1"/>
  <c r="M25" i="1"/>
  <c r="L25" i="1"/>
  <c r="M24" i="1"/>
  <c r="L24" i="1"/>
  <c r="M23" i="1"/>
  <c r="L23" i="1"/>
  <c r="M22" i="1"/>
  <c r="L22" i="1"/>
  <c r="M21" i="1"/>
  <c r="L21" i="1"/>
  <c r="M20" i="1"/>
  <c r="L20" i="1"/>
  <c r="M19" i="1"/>
  <c r="L19" i="1"/>
  <c r="M18" i="1"/>
  <c r="L18" i="1"/>
  <c r="M17" i="1"/>
  <c r="L17" i="1"/>
  <c r="M16" i="1"/>
  <c r="L16" i="1"/>
  <c r="M15" i="1"/>
  <c r="L15" i="1"/>
  <c r="M14" i="1"/>
  <c r="L14" i="1"/>
  <c r="M13" i="1"/>
  <c r="L13" i="1"/>
  <c r="M12" i="1"/>
  <c r="L12" i="1"/>
  <c r="M11" i="1"/>
  <c r="L11" i="1"/>
  <c r="M10" i="1"/>
  <c r="L10" i="1"/>
  <c r="M9" i="1"/>
  <c r="L9" i="1"/>
  <c r="O8" i="1"/>
  <c r="M8" i="1"/>
  <c r="L8" i="1"/>
  <c r="O7" i="1"/>
  <c r="M7" i="1"/>
  <c r="L7" i="1"/>
  <c r="O6" i="1"/>
  <c r="M6" i="1"/>
  <c r="L6" i="1"/>
  <c r="O5" i="1"/>
  <c r="M5" i="1"/>
  <c r="L5" i="1"/>
  <c r="O4" i="1"/>
  <c r="M4" i="1"/>
  <c r="L4" i="1"/>
  <c r="O3" i="1"/>
  <c r="M3" i="1"/>
  <c r="L3" i="1"/>
  <c r="O2" i="1"/>
  <c r="M2" i="1"/>
  <c r="L2" i="1"/>
  <c r="O9" i="1" l="1"/>
</calcChain>
</file>

<file path=xl/sharedStrings.xml><?xml version="1.0" encoding="utf-8"?>
<sst xmlns="http://schemas.openxmlformats.org/spreadsheetml/2006/main" count="1193" uniqueCount="815">
  <si>
    <t>Regione</t>
  </si>
  <si>
    <t>Codice_Scarico</t>
  </si>
  <si>
    <t>Nome_scarico</t>
  </si>
  <si>
    <t>Lat</t>
  </si>
  <si>
    <t>Long</t>
  </si>
  <si>
    <t>Codice_impianto</t>
  </si>
  <si>
    <t>Nome_impianto</t>
  </si>
  <si>
    <t>Carico_Ingresso_AE</t>
  </si>
  <si>
    <t>Dominio</t>
  </si>
  <si>
    <t>Sotto-Dominio</t>
  </si>
  <si>
    <t xml:space="preserve">note </t>
  </si>
  <si>
    <t>conta per dominio</t>
  </si>
  <si>
    <t>Veneto</t>
  </si>
  <si>
    <t>IT05000000000255</t>
  </si>
  <si>
    <t>VENEZIA_FUSINA_VIA_DEI_CA</t>
  </si>
  <si>
    <t>IT05000000000213</t>
  </si>
  <si>
    <t>Venezia_Fusina_Via_Dei_Cantieri</t>
  </si>
  <si>
    <t>interno lagua venezia</t>
  </si>
  <si>
    <t>IT05000000000257</t>
  </si>
  <si>
    <t>VENEZIA_LIDO</t>
  </si>
  <si>
    <t>IT05000000000211</t>
  </si>
  <si>
    <t>Venezia_Lido</t>
  </si>
  <si>
    <t>IT05000000000279</t>
  </si>
  <si>
    <t>CAVALLINO_TREPORTI_CAVAL</t>
  </si>
  <si>
    <t>IT05000000000181</t>
  </si>
  <si>
    <t>Cavallino_Treporti_Cavallino</t>
  </si>
  <si>
    <t>IT05Q90000003381</t>
  </si>
  <si>
    <t>DEPURATORE_PRIVATO_DELL_</t>
  </si>
  <si>
    <t>IT05Q90000003355</t>
  </si>
  <si>
    <t>Depuratore_Privato_Dell_Isola_Di_Albarella_R</t>
  </si>
  <si>
    <t>Friuli V.G.</t>
  </si>
  <si>
    <t>IT06000000000001</t>
  </si>
  <si>
    <t>Scarico_Duino_Aurisina_Sistia</t>
  </si>
  <si>
    <t>Duino_Aurisina_Sistiana_Mare</t>
  </si>
  <si>
    <t>IT06000000000008</t>
  </si>
  <si>
    <t>Scarico_Trieste_Servola</t>
  </si>
  <si>
    <t>Trieste_Servola</t>
  </si>
  <si>
    <t>IT06000000000044</t>
  </si>
  <si>
    <t>Scarico_Lignano_Sabbiadoro</t>
  </si>
  <si>
    <t>Lignano_Sabbiadoro</t>
  </si>
  <si>
    <t>IT06000000000054</t>
  </si>
  <si>
    <t>Scarico_Grado</t>
  </si>
  <si>
    <t>Grado</t>
  </si>
  <si>
    <t>IT06000000000063</t>
  </si>
  <si>
    <t>Scarico_Depuratore_Di_Staran</t>
  </si>
  <si>
    <t>Depuratore_Di_Staranzano</t>
  </si>
  <si>
    <t>IT06000000000072</t>
  </si>
  <si>
    <t>Scarico_Trieste_Zaule</t>
  </si>
  <si>
    <t>Trieste_Zaule</t>
  </si>
  <si>
    <t>IT06000000000098</t>
  </si>
  <si>
    <t>Scarico_San_Giorgio_Di_Nogar</t>
  </si>
  <si>
    <t>San_Giorgio_Di_Nogaro</t>
  </si>
  <si>
    <t>Liguria</t>
  </si>
  <si>
    <t>IT070000000001</t>
  </si>
  <si>
    <t>Alassio_S_Anna</t>
  </si>
  <si>
    <t>IT070000000013</t>
  </si>
  <si>
    <t>IT070000000002</t>
  </si>
  <si>
    <t>Arenzano</t>
  </si>
  <si>
    <t>IT070000000029</t>
  </si>
  <si>
    <t>IT070000000003</t>
  </si>
  <si>
    <t>Arrestra</t>
  </si>
  <si>
    <t>IT070000000027</t>
  </si>
  <si>
    <t>IT070000000005</t>
  </si>
  <si>
    <t>Bordighera</t>
  </si>
  <si>
    <t>IT070000000006</t>
  </si>
  <si>
    <t>IT070000000007</t>
  </si>
  <si>
    <t>Capo_Verde</t>
  </si>
  <si>
    <t>IT070000000008</t>
  </si>
  <si>
    <t>IT070000000012</t>
  </si>
  <si>
    <t>Ciazze</t>
  </si>
  <si>
    <t>IT070000000042</t>
  </si>
  <si>
    <t>Cipressa</t>
  </si>
  <si>
    <t>IT070000000044</t>
  </si>
  <si>
    <t>IT070000000014</t>
  </si>
  <si>
    <t>Consorzio_Savona</t>
  </si>
  <si>
    <t>IT070000000018</t>
  </si>
  <si>
    <t>IT070000000016</t>
  </si>
  <si>
    <t>Darsena</t>
  </si>
  <si>
    <t>IT070000000033</t>
  </si>
  <si>
    <t>IT070000000021</t>
  </si>
  <si>
    <t>Depuratore_Camisano</t>
  </si>
  <si>
    <t>IT070000000024</t>
  </si>
  <si>
    <t>IT070000000023</t>
  </si>
  <si>
    <t>Depuratore_Loc_Portonetti</t>
  </si>
  <si>
    <t>IT070000000030</t>
  </si>
  <si>
    <t>Imperia</t>
  </si>
  <si>
    <t>IT070000000031</t>
  </si>
  <si>
    <t>Lavagna</t>
  </si>
  <si>
    <t>IT070000000032</t>
  </si>
  <si>
    <t>Lerone</t>
  </si>
  <si>
    <t>IT070000000028</t>
  </si>
  <si>
    <t>Loc_Cimitero</t>
  </si>
  <si>
    <t>IT070000000062</t>
  </si>
  <si>
    <t>IT070000000034</t>
  </si>
  <si>
    <t>Loc_Antognano</t>
  </si>
  <si>
    <t>IT070000000035</t>
  </si>
  <si>
    <t>Loc_Cimitero_Finale_Lig</t>
  </si>
  <si>
    <t>IT070000000057</t>
  </si>
  <si>
    <t>IT070000000036</t>
  </si>
  <si>
    <t>Loc_Patarello</t>
  </si>
  <si>
    <t>IT070000000015</t>
  </si>
  <si>
    <t>IT070000000039</t>
  </si>
  <si>
    <t>Pegli</t>
  </si>
  <si>
    <t>IT070000000041</t>
  </si>
  <si>
    <t>Portobello</t>
  </si>
  <si>
    <t>Pra_Voltri</t>
  </si>
  <si>
    <t>IT070000000043</t>
  </si>
  <si>
    <t>Preli</t>
  </si>
  <si>
    <t>Punta_Pedale</t>
  </si>
  <si>
    <t>IT070000000040</t>
  </si>
  <si>
    <t>IT070000000045</t>
  </si>
  <si>
    <t>Punta_S_Anna</t>
  </si>
  <si>
    <t>IT070000000038</t>
  </si>
  <si>
    <t>IT070000000046</t>
  </si>
  <si>
    <t>Punta_Vagno</t>
  </si>
  <si>
    <t>IT070000000047</t>
  </si>
  <si>
    <t>Quinto</t>
  </si>
  <si>
    <t>IT070000000048</t>
  </si>
  <si>
    <t>Rapallo</t>
  </si>
  <si>
    <t>IT07Q210000001</t>
  </si>
  <si>
    <t>Rapallo_Loc_Ronco</t>
  </si>
  <si>
    <t>IT070000000049</t>
  </si>
  <si>
    <t>Riva_Ligure_Prati_Inferiore</t>
  </si>
  <si>
    <t>IT070000000052</t>
  </si>
  <si>
    <t>IT070000000050</t>
  </si>
  <si>
    <t>Riva_Trigoso</t>
  </si>
  <si>
    <t>IT070000000053</t>
  </si>
  <si>
    <t>San_Bartolomeo</t>
  </si>
  <si>
    <t>IT070000000054</t>
  </si>
  <si>
    <t>Sestri_Ponente</t>
  </si>
  <si>
    <t>IT070000000056</t>
  </si>
  <si>
    <t>Stagnoni</t>
  </si>
  <si>
    <t>IT070000000011</t>
  </si>
  <si>
    <t>Sturla</t>
  </si>
  <si>
    <t>IT070000000063</t>
  </si>
  <si>
    <t>IT070000000058</t>
  </si>
  <si>
    <t>Vallecrosia</t>
  </si>
  <si>
    <t>IT070000000009</t>
  </si>
  <si>
    <t>IT070000000061</t>
  </si>
  <si>
    <t>Ventimiglia_Lungomare_Varal</t>
  </si>
  <si>
    <t>IT070000000010</t>
  </si>
  <si>
    <t>Ventimiglia_Lungomare_Varaldo</t>
  </si>
  <si>
    <t>Via_Crispi</t>
  </si>
  <si>
    <t>IT070000000059</t>
  </si>
  <si>
    <t>Villafontana</t>
  </si>
  <si>
    <t>IT07Q13000000002</t>
  </si>
  <si>
    <t>Deiva_Marina_Loc_Fornace</t>
  </si>
  <si>
    <t>IT07Q170000001</t>
  </si>
  <si>
    <t>Monterosso_Fegina</t>
  </si>
  <si>
    <t>IT07Q170000002</t>
  </si>
  <si>
    <t>Levanto_Capoluogo</t>
  </si>
  <si>
    <t>Toscana</t>
  </si>
  <si>
    <t>IT09Q210000001</t>
  </si>
  <si>
    <t>Idl_Schiopparello</t>
  </si>
  <si>
    <t>IT09RT0549</t>
  </si>
  <si>
    <t>Idl_Marina_Di_Campo_Lentisc</t>
  </si>
  <si>
    <t>Idl_Marina_Di_Campo_Lentisco_Mare</t>
  </si>
  <si>
    <t>IT09RT0562</t>
  </si>
  <si>
    <t>Idl_Rosignano_Solvay_Mare</t>
  </si>
  <si>
    <t>IT09RT0564</t>
  </si>
  <si>
    <t>Idl_San_Vincenzo_La_Valle_M</t>
  </si>
  <si>
    <t>Idl_San_Vincenzo_La_Valle_Mare</t>
  </si>
  <si>
    <t>IT09RT0586</t>
  </si>
  <si>
    <t>Idl_Principina_A_Mare</t>
  </si>
  <si>
    <t>IT09RT0692</t>
  </si>
  <si>
    <t>Terrarossa</t>
  </si>
  <si>
    <t>Marche</t>
  </si>
  <si>
    <t>IT110000000223</t>
  </si>
  <si>
    <t>C_DA_ALVATA_PTP_DEP_SCA</t>
  </si>
  <si>
    <t>IT11000000000223</t>
  </si>
  <si>
    <t>C_DA_ALVATA_PTP_DEP</t>
  </si>
  <si>
    <t>Lazio</t>
  </si>
  <si>
    <t>IT12Q90000000097</t>
  </si>
  <si>
    <t>DEP_COM_COLLE_COCCHINO</t>
  </si>
  <si>
    <t>IT12000000000217</t>
  </si>
  <si>
    <t>IT12Q90000000098</t>
  </si>
  <si>
    <t>DEP_COM_CAVALLO_MORTO</t>
  </si>
  <si>
    <t>IT12000000000218</t>
  </si>
  <si>
    <t>IT12Q90000000171</t>
  </si>
  <si>
    <t>DEP_COM_C_E_A_VIA_PERLA</t>
  </si>
  <si>
    <t>IT12000000000285</t>
  </si>
  <si>
    <t>IT12Q90000000180</t>
  </si>
  <si>
    <t>DEP_COM_VIA_ZARA_TORVAJ</t>
  </si>
  <si>
    <t>IT12000000000293</t>
  </si>
  <si>
    <t>DEP_COM_VIA_ZARA_TORVAJANICA_SUD</t>
  </si>
  <si>
    <t>IT12Q90000000242</t>
  </si>
  <si>
    <t>DEP_COM_VIA_ROMA</t>
  </si>
  <si>
    <t>IT12000000000347</t>
  </si>
  <si>
    <t>IT12Q90000000280</t>
  </si>
  <si>
    <t>SABAUDIA</t>
  </si>
  <si>
    <t>IT12000000000123</t>
  </si>
  <si>
    <t>IT12Q90000000281</t>
  </si>
  <si>
    <t>COLONIA_ELENA</t>
  </si>
  <si>
    <t>IT12000000000124</t>
  </si>
  <si>
    <t>IT12Q90000000289</t>
  </si>
  <si>
    <t>SALETTE</t>
  </si>
  <si>
    <t>IT12000000000132</t>
  </si>
  <si>
    <t>IT12Q90000000291</t>
  </si>
  <si>
    <t>VIA_DELLE_CAVE</t>
  </si>
  <si>
    <t>IT12000000000134</t>
  </si>
  <si>
    <t>IT12Q90000000293</t>
  </si>
  <si>
    <t>FARO</t>
  </si>
  <si>
    <t>IT12000000000136</t>
  </si>
  <si>
    <t>Abruzzo</t>
  </si>
  <si>
    <t>IT13000000000019</t>
  </si>
  <si>
    <t>FOSSO_PRETARO (MARE</t>
  </si>
  <si>
    <t>PRETARO</t>
  </si>
  <si>
    <t>IT13000000000020</t>
  </si>
  <si>
    <t>FOSSO_SAN_LORENZO (MARE</t>
  </si>
  <si>
    <t>FORO</t>
  </si>
  <si>
    <t>Molise</t>
  </si>
  <si>
    <t>IT14Q90000002514</t>
  </si>
  <si>
    <t>Termoli_Porto_78A</t>
  </si>
  <si>
    <t>IT14Q90000002475</t>
  </si>
  <si>
    <t>IT14Q90000002530</t>
  </si>
  <si>
    <t>Termoli_Pantano_Basso</t>
  </si>
  <si>
    <t>IT14Q90000002477</t>
  </si>
  <si>
    <t>Campania</t>
  </si>
  <si>
    <t>IT15Q11000000001</t>
  </si>
  <si>
    <t>Casalvelino_Ps_Condotta_Sott</t>
  </si>
  <si>
    <t>IT15Q11000000002</t>
  </si>
  <si>
    <t>Casalvelino_Impianto_Strada_Santa</t>
  </si>
  <si>
    <t>IT15Q90000003484</t>
  </si>
  <si>
    <t>Mondragone_Ps_Impianto_Lo</t>
  </si>
  <si>
    <t>IT15Q90000003452</t>
  </si>
  <si>
    <t>Mondragone_Impianto_Loc_Stercolilli</t>
  </si>
  <si>
    <t>IT15Q90000003486</t>
  </si>
  <si>
    <t>Cellole_Ps_Depuratore_Localit</t>
  </si>
  <si>
    <t>IT15Q90000003454</t>
  </si>
  <si>
    <t>Cellole_Depuratore_Localita_Doccia</t>
  </si>
  <si>
    <t>IT15Q90000003487</t>
  </si>
  <si>
    <t>Cellole_Ps_Impianto_Di_Baia_</t>
  </si>
  <si>
    <t>IT15Q90000003455</t>
  </si>
  <si>
    <t>Cellole_Impianto_Di_Baia_Domizia_Borgo_Ce</t>
  </si>
  <si>
    <t>IT15Q90000003573</t>
  </si>
  <si>
    <t>Napoli_Ps_Impianto_Napoli_E</t>
  </si>
  <si>
    <t>IT15Q15000000033</t>
  </si>
  <si>
    <t>Napoli_Impianto_Napoli_Est</t>
  </si>
  <si>
    <t>IT15Q90000003575</t>
  </si>
  <si>
    <t>Pozzuoli_Na_Ps_Impianto_Na</t>
  </si>
  <si>
    <t>IT15Q15000000008</t>
  </si>
  <si>
    <t>Pozzuoli_Na_Impianto_Napoli_Ovest_Cuma</t>
  </si>
  <si>
    <t>IT15Q90000003576</t>
  </si>
  <si>
    <t>Massa_Lubrense_Ps_Impianto</t>
  </si>
  <si>
    <t>IT15Q90000003544</t>
  </si>
  <si>
    <t>Massa_Lubrense_Impianto_Massa_Centro</t>
  </si>
  <si>
    <t>IT15Q90000003577</t>
  </si>
  <si>
    <t>IT15Q90000003545</t>
  </si>
  <si>
    <t>Massa_Lubrense_Impianto_Di_Marina_Del_C</t>
  </si>
  <si>
    <t>IT15Q90000003578</t>
  </si>
  <si>
    <t>Sorrento_Ps_Impianto_Marina</t>
  </si>
  <si>
    <t>IT15Q90000003546</t>
  </si>
  <si>
    <t>Sorrento_Impianto_Marina_Grande</t>
  </si>
  <si>
    <t>IT15Q90000003583</t>
  </si>
  <si>
    <t>Capri_Ps_Impianto_Occhio_M</t>
  </si>
  <si>
    <t>IT15Q90000003551</t>
  </si>
  <si>
    <t>Capri_Impianto_Occhio_Marino</t>
  </si>
  <si>
    <t>IT15Q90000003584</t>
  </si>
  <si>
    <t>Anacapri_Ps_La_Selva</t>
  </si>
  <si>
    <t>IT15Q90000003552</t>
  </si>
  <si>
    <t>Anacapri_La_Selva</t>
  </si>
  <si>
    <t>IT15Q90000003585</t>
  </si>
  <si>
    <t>Capri_Ps_Impianto_Di_Gasto</t>
  </si>
  <si>
    <t>IT15Q90000003553</t>
  </si>
  <si>
    <t>Capri_Impianto_Di_Gasto</t>
  </si>
  <si>
    <t>IT15Q90000003648</t>
  </si>
  <si>
    <t>Castellammare_Di_Stabia_Na_</t>
  </si>
  <si>
    <t>IT15Q15000000005</t>
  </si>
  <si>
    <t>Castellammare_Di_Stabia_Na_Impianto_Foce</t>
  </si>
  <si>
    <t>IT15Q90000003649</t>
  </si>
  <si>
    <t>Capaccio_Sa_Ps_Impiantovarol</t>
  </si>
  <si>
    <t>IT15Q90000003617</t>
  </si>
  <si>
    <t>Capaccio_Sa_Impiantovarolato</t>
  </si>
  <si>
    <t>IT15Q90000003674</t>
  </si>
  <si>
    <t>Maiori_Ps_Depuratore_Di_Mai</t>
  </si>
  <si>
    <t>IT15Q90000003642</t>
  </si>
  <si>
    <t>Maiori_Depuratore_Di_Maiori</t>
  </si>
  <si>
    <t>IT15Q90000003680</t>
  </si>
  <si>
    <t>Santa_Marina_Ps_Impianto_Fr</t>
  </si>
  <si>
    <t>Santa_Marina_Impianto_Fraz_Policastro</t>
  </si>
  <si>
    <t>IT15Q90000003682</t>
  </si>
  <si>
    <t>Sapri_Ps_Depuratore_Di_Sapri</t>
  </si>
  <si>
    <t>IT15Q90000003650</t>
  </si>
  <si>
    <t>Sapri_Depuratore_Di_Sapri</t>
  </si>
  <si>
    <t>IT15Q90000003684</t>
  </si>
  <si>
    <t>Ascea_Ps_Depuratore_Di_Asce</t>
  </si>
  <si>
    <t>IT15Q90000003652</t>
  </si>
  <si>
    <t>Ascea_Depuratore_Di_Ascea</t>
  </si>
  <si>
    <t>IT15Q90000003693</t>
  </si>
  <si>
    <t>Castellabate_Ps_Depuratore_D</t>
  </si>
  <si>
    <t>IT15Q90000003661</t>
  </si>
  <si>
    <t>Castellabate_Depuratore_Di_Maroccia</t>
  </si>
  <si>
    <t>IT15Q90000003702</t>
  </si>
  <si>
    <t>Vibonati_Ps_Impianto_Irace</t>
  </si>
  <si>
    <t>IT15Q90000003670</t>
  </si>
  <si>
    <t>Vibonati_Impianto_Irace</t>
  </si>
  <si>
    <t>IT15Q90000003704</t>
  </si>
  <si>
    <t>Amalfi_Ps_Depuratore_Di_Am</t>
  </si>
  <si>
    <t>IT15Q90000003672</t>
  </si>
  <si>
    <t>Amalfi_Depuratore_Di_Amalfi</t>
  </si>
  <si>
    <t>IT15Q90000003706</t>
  </si>
  <si>
    <t>Atrani_Ps_Impianto_Consortil</t>
  </si>
  <si>
    <t>Atrani_Impianto_Consortile_Condotta_Sotto</t>
  </si>
  <si>
    <t>IT15Q90000003708</t>
  </si>
  <si>
    <t>Tramonti_Ps_Impianto_Tramo</t>
  </si>
  <si>
    <t>IT15Q90000003676</t>
  </si>
  <si>
    <t>Tramonti_Impianto_Tramonti</t>
  </si>
  <si>
    <t>IT15Q90000003710</t>
  </si>
  <si>
    <t>Ispani_Ps_Impianto_Di_Depur</t>
  </si>
  <si>
    <t>IT15Q90000003678</t>
  </si>
  <si>
    <t>Ispani_Impianto_Di_Depurazione_In_Loc_Cap</t>
  </si>
  <si>
    <t>IT15Q90000003714</t>
  </si>
  <si>
    <t>Montecorice_Ps_Depuratore_</t>
  </si>
  <si>
    <t>Montecorice_Depuratore_Agnone</t>
  </si>
  <si>
    <t>IT15Q90000003719</t>
  </si>
  <si>
    <t>Pisciotta_Ps_Imp_Di_Depurazi</t>
  </si>
  <si>
    <t>IT15Q90000003687</t>
  </si>
  <si>
    <t>Pisciotta_Imp_Di_Depurazione_S_Macario</t>
  </si>
  <si>
    <t>IT15Q90000003720</t>
  </si>
  <si>
    <t>IT15Q90000003688</t>
  </si>
  <si>
    <t>Pisciotta_Imp_Di_Depurazione_Caprioli</t>
  </si>
  <si>
    <t>IT15Q90000003721</t>
  </si>
  <si>
    <t>IT15Q90000003689</t>
  </si>
  <si>
    <t>Pisciotta_Imp_Di_Depurazione_Croce_Rodio</t>
  </si>
  <si>
    <t>IT15Q90000003738</t>
  </si>
  <si>
    <t>Positano_Ps_Impianto_Di_Dep</t>
  </si>
  <si>
    <t>Positano_Impianto_Di_Dep_Loc_Via_Dei_Mul</t>
  </si>
  <si>
    <t>IT15Q90000003739</t>
  </si>
  <si>
    <t>Praiano_Ps_Depuratore_Via_R</t>
  </si>
  <si>
    <t>IT15Q90000003707</t>
  </si>
  <si>
    <t>Praiano_Depuratore_Via_Roma</t>
  </si>
  <si>
    <t>IT15Q90000003740</t>
  </si>
  <si>
    <t>Praiano_Ps_Depuratore_Loc_P</t>
  </si>
  <si>
    <t>Praiano_Depuratore_Loc_Praia</t>
  </si>
  <si>
    <t>Puglia</t>
  </si>
  <si>
    <t>IT16Q11000000002</t>
  </si>
  <si>
    <t>Mare_Adriatico_Con_Condott</t>
  </si>
  <si>
    <t>IT160000000030</t>
  </si>
  <si>
    <t>Mattinata</t>
  </si>
  <si>
    <t>IT16Q13000000005</t>
  </si>
  <si>
    <t>IT160000000075</t>
  </si>
  <si>
    <t>Conversano</t>
  </si>
  <si>
    <t>IT16Q170000003</t>
  </si>
  <si>
    <t>IT160000000164</t>
  </si>
  <si>
    <t>Otranto</t>
  </si>
  <si>
    <t>IT16Q210000005</t>
  </si>
  <si>
    <t>IT160000000180</t>
  </si>
  <si>
    <t>Uggiano_La_Chiesa</t>
  </si>
  <si>
    <t>IT16Q210000006</t>
  </si>
  <si>
    <t>IT160000000023</t>
  </si>
  <si>
    <t>Isole_Tremiti</t>
  </si>
  <si>
    <t>IT16Q90000000406</t>
  </si>
  <si>
    <t>IT160000000029</t>
  </si>
  <si>
    <t>Margherita_Di_Savoia</t>
  </si>
  <si>
    <t>IT16Q90000000414</t>
  </si>
  <si>
    <t>IT160000000038</t>
  </si>
  <si>
    <t>Peschici</t>
  </si>
  <si>
    <t>IT16Q90000000418</t>
  </si>
  <si>
    <t>IT160000000042</t>
  </si>
  <si>
    <t>Rodi_Garganico_1</t>
  </si>
  <si>
    <t>IT16Q90000000419</t>
  </si>
  <si>
    <t>Mare_Adriatico</t>
  </si>
  <si>
    <t>IT16Q90000000421</t>
  </si>
  <si>
    <t>Rodi_Garganico_2_Marina</t>
  </si>
  <si>
    <t>IT16Q90000000435</t>
  </si>
  <si>
    <t>IT160000000058</t>
  </si>
  <si>
    <t>Vieste_Nuovo</t>
  </si>
  <si>
    <t>IT16Q90000000444</t>
  </si>
  <si>
    <t>IT160000000065</t>
  </si>
  <si>
    <t>Bari_Est</t>
  </si>
  <si>
    <t>IT16Q90000000445</t>
  </si>
  <si>
    <t>IT160000000066</t>
  </si>
  <si>
    <t>Bari_Ovest</t>
  </si>
  <si>
    <t>IT16Q90000000446</t>
  </si>
  <si>
    <t>IT160000000067</t>
  </si>
  <si>
    <t>Barletta</t>
  </si>
  <si>
    <t>IT16Q90000000447</t>
  </si>
  <si>
    <t>IT160000000068</t>
  </si>
  <si>
    <t>Bisceglie</t>
  </si>
  <si>
    <t>IT16Q90000000448</t>
  </si>
  <si>
    <t>IT160000000069</t>
  </si>
  <si>
    <t>Bitonto</t>
  </si>
  <si>
    <t>IT16Q90000000458</t>
  </si>
  <si>
    <t>IT160000000078</t>
  </si>
  <si>
    <t>Giovinazzo</t>
  </si>
  <si>
    <t>IT16Q90000000462</t>
  </si>
  <si>
    <t>IT160000000082</t>
  </si>
  <si>
    <t>Mola_Di_Bari</t>
  </si>
  <si>
    <t>IT16Q90000000463</t>
  </si>
  <si>
    <t>IT160000000083</t>
  </si>
  <si>
    <t>Molfetta</t>
  </si>
  <si>
    <t>IT16Q90000000464</t>
  </si>
  <si>
    <t>IT160000000084</t>
  </si>
  <si>
    <t>Monopoli</t>
  </si>
  <si>
    <t>IT16Q90000000467</t>
  </si>
  <si>
    <t>IT160000000087</t>
  </si>
  <si>
    <t>Polignano_A_Mare</t>
  </si>
  <si>
    <t>IT16Q90000000474</t>
  </si>
  <si>
    <t>Mare_Adriatico_Battigia</t>
  </si>
  <si>
    <t>IT160000000094</t>
  </si>
  <si>
    <t>Trani</t>
  </si>
  <si>
    <t>IT16Q90000000498</t>
  </si>
  <si>
    <t>Mare_Jonio</t>
  </si>
  <si>
    <t>IT160000000117</t>
  </si>
  <si>
    <t>Taranto_Bellavista</t>
  </si>
  <si>
    <t>IT16Q90000000499</t>
  </si>
  <si>
    <t>Mare_Jonio_Con_Condotta_S</t>
  </si>
  <si>
    <t>IT160000000118</t>
  </si>
  <si>
    <t>Taranto_Gennarini</t>
  </si>
  <si>
    <t>IT16Q90000000508</t>
  </si>
  <si>
    <t>Mare_Adriatico_E_Riuso</t>
  </si>
  <si>
    <t>IT160000000127</t>
  </si>
  <si>
    <t>Fasano_Forcatelle</t>
  </si>
  <si>
    <t>IT16Q90000000534</t>
  </si>
  <si>
    <t>IT160000000153</t>
  </si>
  <si>
    <t>Gallipoli</t>
  </si>
  <si>
    <t>IT16Q90000000535</t>
  </si>
  <si>
    <t>IT160000000154</t>
  </si>
  <si>
    <t>Lecce</t>
  </si>
  <si>
    <t>IT16Q90000000542</t>
  </si>
  <si>
    <t>Mare_Jonio_Contrada_Torre_I</t>
  </si>
  <si>
    <t>IT160000000161</t>
  </si>
  <si>
    <t>Nardo</t>
  </si>
  <si>
    <t>IT16Q90000000552</t>
  </si>
  <si>
    <t>IT16Q90000000554</t>
  </si>
  <si>
    <t>Santa_Cesarea_Terme_Nuovo</t>
  </si>
  <si>
    <t>Calabria</t>
  </si>
  <si>
    <t>IT18Q19000300001</t>
  </si>
  <si>
    <t>Crotone_Corap</t>
  </si>
  <si>
    <t>IT18Q90000002632</t>
  </si>
  <si>
    <t>Belvedere_Marittimo_Praie</t>
  </si>
  <si>
    <t>IT18Q90000002642</t>
  </si>
  <si>
    <t>Bonifati_Parise</t>
  </si>
  <si>
    <t>IT18Q90000002656</t>
  </si>
  <si>
    <t>Cassano_Allo_Ionio_Laghi_Di_</t>
  </si>
  <si>
    <t>IT18Q90000002626</t>
  </si>
  <si>
    <t>Cassano_Allo_Ionio_Laghi_Di_Sibari</t>
  </si>
  <si>
    <t>IT18Q90000002676</t>
  </si>
  <si>
    <t>Cetraro_Sottocastello</t>
  </si>
  <si>
    <t>IT18Q90000002647</t>
  </si>
  <si>
    <t>IT18Q90000002677</t>
  </si>
  <si>
    <t>Cetraro_S_Maria_Di_Mare</t>
  </si>
  <si>
    <t>IT18Q90000002646</t>
  </si>
  <si>
    <t>IT18Q90000002697</t>
  </si>
  <si>
    <t>Falconara_Albanese_Torremez</t>
  </si>
  <si>
    <t>IT18Q90000002667</t>
  </si>
  <si>
    <t>Falconara_Albanese_Torremezzo</t>
  </si>
  <si>
    <t>IT18Q90000002700</t>
  </si>
  <si>
    <t>Fiumefreddo_Bruzio_Santa_Ri</t>
  </si>
  <si>
    <t>IT18Q90000002670</t>
  </si>
  <si>
    <t>Fiumefreddo_Bruzio_Santa_Rita</t>
  </si>
  <si>
    <t>IT18Q90000002702</t>
  </si>
  <si>
    <t>Francavilla_Marittima_Contrad</t>
  </si>
  <si>
    <t>IT18Q90000002672</t>
  </si>
  <si>
    <t>Francavilla_Marittima_Contrada_Vigne</t>
  </si>
  <si>
    <t>IT18Q90000002782</t>
  </si>
  <si>
    <t>Praia_A_Mare_Lungomare</t>
  </si>
  <si>
    <t>IT18Q90000002752</t>
  </si>
  <si>
    <t>IT18Q90000002802</t>
  </si>
  <si>
    <t>Rossano_Sant_Angelo</t>
  </si>
  <si>
    <t>IT18Q90000002772</t>
  </si>
  <si>
    <t>IT18Q90000002843</t>
  </si>
  <si>
    <t>San_Nicola_Arcella_Canalgran</t>
  </si>
  <si>
    <t>IT18Q90000002813</t>
  </si>
  <si>
    <t>San_Nicola_Arcella_Canalgrande</t>
  </si>
  <si>
    <t>IT18Q90000002854</t>
  </si>
  <si>
    <t>Santa_Maria_Del_Cedro_Frecc</t>
  </si>
  <si>
    <t>IT18Q90000002824</t>
  </si>
  <si>
    <t>Santa_Maria_Del_Cedro_Frecciara</t>
  </si>
  <si>
    <t>IT18Q90000002856</t>
  </si>
  <si>
    <t>Diamante_Cirella</t>
  </si>
  <si>
    <t>IT18Q90000002826</t>
  </si>
  <si>
    <t>IT18Q90000002857</t>
  </si>
  <si>
    <t>Diamante_Sorbo</t>
  </si>
  <si>
    <t>IT18Q90000002827</t>
  </si>
  <si>
    <t>IT18Q90000002875</t>
  </si>
  <si>
    <t>Scalea_Lintiscita</t>
  </si>
  <si>
    <t>IT18Q90000002845</t>
  </si>
  <si>
    <t>IT18Q90000002902</t>
  </si>
  <si>
    <t>Tortora_Falconara</t>
  </si>
  <si>
    <t>IT18Q90000002872</t>
  </si>
  <si>
    <t>IT18Q90000002911</t>
  </si>
  <si>
    <t>Amantea_Nocera_Terinese</t>
  </si>
  <si>
    <t>IT18Q90000002881</t>
  </si>
  <si>
    <t>IT18Q90000002914</t>
  </si>
  <si>
    <t>Botricello_Arango</t>
  </si>
  <si>
    <t>IT18Q90000002884</t>
  </si>
  <si>
    <t>IT18Q90000002996</t>
  </si>
  <si>
    <t>Catanzaro_Varghello</t>
  </si>
  <si>
    <t>IT18Q90000002966</t>
  </si>
  <si>
    <t>IT18Q90000002998</t>
  </si>
  <si>
    <t>Isca_Sullo_Jonio_Lenze_Gallip</t>
  </si>
  <si>
    <t>IT18Q90000002968</t>
  </si>
  <si>
    <t>Isca_Sullo_Jonio_Lenze_Gallipari</t>
  </si>
  <si>
    <t>IT18Q90000003005</t>
  </si>
  <si>
    <t>Soverato_Corvo</t>
  </si>
  <si>
    <t>IT18Q90000002975</t>
  </si>
  <si>
    <t>IT18Q90000003015</t>
  </si>
  <si>
    <t>Cirò_Marina_Lungomare</t>
  </si>
  <si>
    <t>IT18Q90000002985</t>
  </si>
  <si>
    <t>Ciro_Marina_Lungomare</t>
  </si>
  <si>
    <t>IT18Q90000003020</t>
  </si>
  <si>
    <t>Crucoli_Torretta_Mortelletto</t>
  </si>
  <si>
    <t>IT18Q90000002990</t>
  </si>
  <si>
    <t>IT18Q90000003023</t>
  </si>
  <si>
    <t>Isola_Di_Capo_Rizzuto_Le_Cas</t>
  </si>
  <si>
    <t>IT18Q90000002993</t>
  </si>
  <si>
    <t>Isola_Di_Capo_Rizzuto_Le_Castella</t>
  </si>
  <si>
    <t>IT18Q90000003044</t>
  </si>
  <si>
    <t>Briatico_S_Giorgio</t>
  </si>
  <si>
    <t>IT18Q90000003014</t>
  </si>
  <si>
    <t>IT18Q90000003056</t>
  </si>
  <si>
    <t>Parghelia_Le_Grazie</t>
  </si>
  <si>
    <t>IT18Q90000003026</t>
  </si>
  <si>
    <t>IT18Q90000003058</t>
  </si>
  <si>
    <t>Ricadi_Santa_Maria</t>
  </si>
  <si>
    <t>IT18Q90000003028</t>
  </si>
  <si>
    <t>IT18Q90000003117</t>
  </si>
  <si>
    <t>Gioia_Tauro_Consortile_Iam:_</t>
  </si>
  <si>
    <t>IT18Q90000003087</t>
  </si>
  <si>
    <t>Gioia_Tauro_Consortile_Iam:_Cinquefrondi_C</t>
  </si>
  <si>
    <t>IT18Q90000003140</t>
  </si>
  <si>
    <t>Melito_Di_Porto_Salvo_Conso</t>
  </si>
  <si>
    <t>IT18Q90000003110</t>
  </si>
  <si>
    <t>Melito_Di_Porto_Salvo_Consortile_Melito_Di</t>
  </si>
  <si>
    <t>IT18Q90000003150</t>
  </si>
  <si>
    <t>Montebello_Jonico_Saline</t>
  </si>
  <si>
    <t>IT18Q90000003120</t>
  </si>
  <si>
    <t>IT18Q90000003176</t>
  </si>
  <si>
    <t>Reggio_Calabria_Gallico</t>
  </si>
  <si>
    <t>IT18Q90000003146</t>
  </si>
  <si>
    <t>IT18Q90000003178</t>
  </si>
  <si>
    <t>Reggio_Calabria_Pellaro</t>
  </si>
  <si>
    <t>IT18Q90000003148</t>
  </si>
  <si>
    <t>Sicilia</t>
  </si>
  <si>
    <t>IT19AG00G0042SC001</t>
  </si>
  <si>
    <t>Scarico_Impianto_C_Da_Cavall</t>
  </si>
  <si>
    <t>IT19AG00G0042DE001</t>
  </si>
  <si>
    <t>Impianto_C_Da_Cavallo_Bianco</t>
  </si>
  <si>
    <t>IT19AG00G0043SC009</t>
  </si>
  <si>
    <t>Scarico_Impianto_Via_Luigi_Ri</t>
  </si>
  <si>
    <t>IT19AG00G0043DE001</t>
  </si>
  <si>
    <t>Impianto_Via_Luigi_Ricci</t>
  </si>
  <si>
    <t>IT19AG00G0045SC002</t>
  </si>
  <si>
    <t>Scarico_Impianto_C/Da_Terra</t>
  </si>
  <si>
    <t>IT19AG00G0045DE001</t>
  </si>
  <si>
    <t>Impianto_C/Da_Terranova-Fiori_Porto_Palo</t>
  </si>
  <si>
    <t>IT19AG00G0050SC002</t>
  </si>
  <si>
    <t>Scarico_Impianto_Via_Molo_L</t>
  </si>
  <si>
    <t>IT19AG00G0050DE002</t>
  </si>
  <si>
    <t>Impianto_Via_Molo_Levante</t>
  </si>
  <si>
    <t>IT19AG00G0054SC002</t>
  </si>
  <si>
    <t>Scarico_Impianto_C_Da_Canal</t>
  </si>
  <si>
    <t>IT19AG00G0054DE001</t>
  </si>
  <si>
    <t>Impianto_C_Da_Canalotto</t>
  </si>
  <si>
    <t>IT19CL00G0007SC001</t>
  </si>
  <si>
    <t>Scarico_Consortile_Agip,_Di_C</t>
  </si>
  <si>
    <t>IT19CL00G6001DE001</t>
  </si>
  <si>
    <t>Consortile_Agip,_Di_C_Da_Bethlem</t>
  </si>
  <si>
    <t>IT19CL00G0007SC002</t>
  </si>
  <si>
    <t>Scarico_Impianto_C_Da_Macc</t>
  </si>
  <si>
    <t>IT19CL00G0007DE001</t>
  </si>
  <si>
    <t>Impianto_C_Da_Macchitella</t>
  </si>
  <si>
    <t>IT19ME00G0006SC001</t>
  </si>
  <si>
    <t>Scarico_Impianto_Consortile_</t>
  </si>
  <si>
    <t>IT19ME00G0006DE001</t>
  </si>
  <si>
    <t>Impianto_Consortile_Cantone_Gazzisi_Torren</t>
  </si>
  <si>
    <t>IT19ME00G0012SC11111</t>
  </si>
  <si>
    <t>Scarico_Impianto_Di_Marina_</t>
  </si>
  <si>
    <t>IT19ME00G0012DE001</t>
  </si>
  <si>
    <t>Impianto_Di_Marina_Di_Caronia</t>
  </si>
  <si>
    <t>IT19ME00G0034SC001</t>
  </si>
  <si>
    <t>IT19ME00G0069DE001</t>
  </si>
  <si>
    <t>Impianto_Consortile_Gliaca_Lungo_Mare_Lui</t>
  </si>
  <si>
    <t>IT19ME00G0042SC001</t>
  </si>
  <si>
    <t>Scarico_Impianto_Di_Lipari</t>
  </si>
  <si>
    <t>IT19ME00G0042DE001</t>
  </si>
  <si>
    <t>Impianto_Di_Lipari</t>
  </si>
  <si>
    <t>IT19ME00G0045SC001</t>
  </si>
  <si>
    <t>Scarico_Impianto_Feliciotto</t>
  </si>
  <si>
    <t>IT19ME00G0020DE001</t>
  </si>
  <si>
    <t>Impianto_Feliciotto</t>
  </si>
  <si>
    <t>IT19ME00G0049SC007</t>
  </si>
  <si>
    <t>Scarico_Impianto_S_Saba</t>
  </si>
  <si>
    <t>IT19ME00G0049DE002</t>
  </si>
  <si>
    <t>Impianto_S_Saba</t>
  </si>
  <si>
    <t>IT19ME00G0049SC020</t>
  </si>
  <si>
    <t>Scarico_Impianto_Mili_C_Da_</t>
  </si>
  <si>
    <t>IT19ME00G0049DE001</t>
  </si>
  <si>
    <t>Impianto_Mili_C_Da_Barone_Mili_Marina</t>
  </si>
  <si>
    <t>IT19ME00G0050SC001</t>
  </si>
  <si>
    <t>Scarico_Impianto_C_Da_Fossa</t>
  </si>
  <si>
    <t>IT19ME00G0050DE001</t>
  </si>
  <si>
    <t>Impianto_C_Da_Fossazzo</t>
  </si>
  <si>
    <t>IT19ME00G0067SC005</t>
  </si>
  <si>
    <t>Scarico_Impianto_Playa</t>
  </si>
  <si>
    <t>IT19ME00G0067DE001</t>
  </si>
  <si>
    <t>Impianto_Playa</t>
  </si>
  <si>
    <t>IT19ME00G0073SC001</t>
  </si>
  <si>
    <t>IT19ME00G0073DE001</t>
  </si>
  <si>
    <t>Impianto_Consortile_Di_Roccalumera_C_Da_</t>
  </si>
  <si>
    <t>IT19ME00G0086SC001</t>
  </si>
  <si>
    <t>IT19ME00G0086DE001</t>
  </si>
  <si>
    <t>Impianto_Consortile_Di_Sant_Alessio_Siculo_</t>
  </si>
  <si>
    <t>IT19ME00G0093SC001</t>
  </si>
  <si>
    <t>Scarico_Impianto_C_Da_Sapo</t>
  </si>
  <si>
    <t>IT19ME00G0093DE001</t>
  </si>
  <si>
    <t>Impianto_C_Da_Saponara_Marittima</t>
  </si>
  <si>
    <t>IT19ME00G0097SC001</t>
  </si>
  <si>
    <t>Scarico_Impianto_C_Da_Bonc</t>
  </si>
  <si>
    <t>IT19ME00G0097DE001</t>
  </si>
  <si>
    <t>Impianto_C_Da_Boncoddo</t>
  </si>
  <si>
    <t>IT19ME00G0100SC001</t>
  </si>
  <si>
    <t>IT19ME00G0100DE001</t>
  </si>
  <si>
    <t>Impianto_Consortile_Torregrotta</t>
  </si>
  <si>
    <t>IT19ME00G0101SC002</t>
  </si>
  <si>
    <t>IT19ME00G0101DE001</t>
  </si>
  <si>
    <t>Impianto_Consortile_C_Da_Zappulla_Di_Torre</t>
  </si>
  <si>
    <t>IT19ME00G0104SC003</t>
  </si>
  <si>
    <t>Scarico_Impianto_C_Da_Ciara</t>
  </si>
  <si>
    <t>IT19ME00G0092DE001</t>
  </si>
  <si>
    <t>Impianto_C_Da_Ciaramirello</t>
  </si>
  <si>
    <t>IT19ME00G0108SC001</t>
  </si>
  <si>
    <t>Scarico_Impianto_Lungomare</t>
  </si>
  <si>
    <t>IT19ME00G0108DE001</t>
  </si>
  <si>
    <t>Impianto_Lungomare_Cristoforo_Colombo_L</t>
  </si>
  <si>
    <t>IT19ME00G1002SC002</t>
  </si>
  <si>
    <t>Scarico_Impianto_Consortile_L</t>
  </si>
  <si>
    <t>IT19ME00G1002DE002</t>
  </si>
  <si>
    <t>Impianto_Consortile_Letojanni_C_Da_S_Filipp</t>
  </si>
  <si>
    <t>IT19PA00G0004SC001</t>
  </si>
  <si>
    <t>Scarico_Impianto_C_Da_Pozzil</t>
  </si>
  <si>
    <t>IT19PA00G0004DE001</t>
  </si>
  <si>
    <t>Impianto_C_Da_Pozzillo_Rosselli</t>
  </si>
  <si>
    <t>IT19PA00G0006SC001</t>
  </si>
  <si>
    <t>Scarico_Impianto_C_Da_Cotog</t>
  </si>
  <si>
    <t>IT19PA00G0006DE001</t>
  </si>
  <si>
    <t>Impianto_C_Da_Cotogni</t>
  </si>
  <si>
    <t>IT19PA00G0007SC001</t>
  </si>
  <si>
    <t>Scarico_Impianto_Via_Iv_Nove</t>
  </si>
  <si>
    <t>IT19PA00G0007DE001</t>
  </si>
  <si>
    <t>Impianto_Via_Iv_Novembre</t>
  </si>
  <si>
    <t>IT19PA00G0022SC005</t>
  </si>
  <si>
    <t>IT19PA00G0022DE001</t>
  </si>
  <si>
    <t>Impianto_Consortile_C_Da_Ciachea</t>
  </si>
  <si>
    <t>IT19PA00G0024SC002</t>
  </si>
  <si>
    <t>Scarico_Impianto_C_Da_Pirrer</t>
  </si>
  <si>
    <t>IT19PA00G0024DE001</t>
  </si>
  <si>
    <t>Impianto_C_Da_Pirrera</t>
  </si>
  <si>
    <t>IT19PA00G0028SC001</t>
  </si>
  <si>
    <t>Scarico_Impianto_C_Da_S_Ant</t>
  </si>
  <si>
    <t>IT19PA00G0028DE001</t>
  </si>
  <si>
    <t>Impianto_C_Da_S_Antonio</t>
  </si>
  <si>
    <t>IT19PA00G0059SC001</t>
  </si>
  <si>
    <t>Scarico_Impianto_C_Da_Rais_</t>
  </si>
  <si>
    <t>IT19PA00G0059DE002</t>
  </si>
  <si>
    <t>Impianto_C_Da_Rais_Gerba</t>
  </si>
  <si>
    <t>IT19PA00G0071SC001</t>
  </si>
  <si>
    <t>Scarico_Impianto_C_Da_Barra</t>
  </si>
  <si>
    <t>IT19PA00G0071DE001</t>
  </si>
  <si>
    <t>Impianto_C_Da_Barratina</t>
  </si>
  <si>
    <t>IT19PA00G0072SC001</t>
  </si>
  <si>
    <t>Scarico_Impianto_C_Da_Praio</t>
  </si>
  <si>
    <t>IT19PA00G0072DE001</t>
  </si>
  <si>
    <t>Impianto_C_Da_Praioca</t>
  </si>
  <si>
    <t>IT19PA00G0074SC001</t>
  </si>
  <si>
    <t>Scarico_Impianto_C/Da_Giardi</t>
  </si>
  <si>
    <t>IT19PA00G0074DE003</t>
  </si>
  <si>
    <t>Impianto_C_Da_Giardini_Piani</t>
  </si>
  <si>
    <t>IT19PA00G0074SC002</t>
  </si>
  <si>
    <t>Scarico_Impianto_S_Nicola_L_</t>
  </si>
  <si>
    <t>IT19PA00G0074DE002</t>
  </si>
  <si>
    <t>Impianto_S_Nicola_L_Arena-Scalo_Marittimo</t>
  </si>
  <si>
    <t>IT19PA00G0074SC11111</t>
  </si>
  <si>
    <t>Scarico_Impiianto_C/Da_Mola</t>
  </si>
  <si>
    <t>IT19PA00G0074DE001</t>
  </si>
  <si>
    <t>Impiianto_C_Da_Molara_Ginestre-S_Rosalia</t>
  </si>
  <si>
    <t>IT19PA00G0075SC002</t>
  </si>
  <si>
    <t>Scarico_Impianto_C_Da_Piano</t>
  </si>
  <si>
    <t>IT19PA00G0075DE001</t>
  </si>
  <si>
    <t>Impianto_C_Da_Piano_Trappeto</t>
  </si>
  <si>
    <t>IT19PA00G2001SC024</t>
  </si>
  <si>
    <t>Scarico_Impianto_C_Da_Mulin</t>
  </si>
  <si>
    <t>IT19PA00G0032DE001</t>
  </si>
  <si>
    <t>Impianto_C_Da_Mulinazzo</t>
  </si>
  <si>
    <t>IT19PA00G2001SC044</t>
  </si>
  <si>
    <t>Scarico_Impianto_Acqua_Dei_</t>
  </si>
  <si>
    <t>IT19PA00G2001DE001</t>
  </si>
  <si>
    <t>Impianto_Acqua_Dei_Corsari</t>
  </si>
  <si>
    <t>IT19RG00G0025SC002</t>
  </si>
  <si>
    <t>Scarico_Impianto_S_Maria_Di</t>
  </si>
  <si>
    <t>IT19RG00G0025DE002</t>
  </si>
  <si>
    <t>Impianto_S_Maria_Di_Focallo_Rio_Favara</t>
  </si>
  <si>
    <t>IT19RG00G0031SC11111</t>
  </si>
  <si>
    <t>Scarico_Impianto_C_Da_Cann</t>
  </si>
  <si>
    <t>IT19RG00G0031DE002</t>
  </si>
  <si>
    <t>Impianto_C_Da_Cannarella</t>
  </si>
  <si>
    <t>IT19RG00G0032SC002</t>
  </si>
  <si>
    <t>Scarico_Frazione_Scoglitti</t>
  </si>
  <si>
    <t>IT19RG00G0032DE002</t>
  </si>
  <si>
    <t>Frazione_Scoglitti</t>
  </si>
  <si>
    <t>IT19RG00G4005SC006</t>
  </si>
  <si>
    <t>IT19RG00G4005DE002</t>
  </si>
  <si>
    <t>Impianto_Consortile_Contrada_Maganuco_N</t>
  </si>
  <si>
    <t>IT19SR00G0014SC001</t>
  </si>
  <si>
    <t>Scarico_Impianto_C_Da_Lettie</t>
  </si>
  <si>
    <t>IT19SR00G0014DE001</t>
  </si>
  <si>
    <t>Impianto_C_Da_Lettiera</t>
  </si>
  <si>
    <t>IT19SR00G7002SC001</t>
  </si>
  <si>
    <t>Scarico_Impianto_C_Da_Magn</t>
  </si>
  <si>
    <t>IT19SR00G7002DE001</t>
  </si>
  <si>
    <t>Impianto_C_Da_Magnisi_Casale_Vecchie_Sali</t>
  </si>
  <si>
    <t>IT19TP00G0006SC003</t>
  </si>
  <si>
    <t>Scarico_Fraz_Marinella_Di_Sel</t>
  </si>
  <si>
    <t>IT19TP00G0006DE002</t>
  </si>
  <si>
    <t>Fraz_Marinella_Di_Selinunte</t>
  </si>
  <si>
    <t>IT19TP00G0012SC11111</t>
  </si>
  <si>
    <t>Scarico_C/Da_Bocca_Arena</t>
  </si>
  <si>
    <t>IT19TP00G0012DE002</t>
  </si>
  <si>
    <t>C_Da_Bocca_Arena</t>
  </si>
  <si>
    <t>IT19TP00G0014SC001</t>
  </si>
  <si>
    <t>Scarico_C/Da_Arenella</t>
  </si>
  <si>
    <t>IT19TP00G0014DE001</t>
  </si>
  <si>
    <t>C_Da_Arenella</t>
  </si>
  <si>
    <t>IT19TP00G0016SC001</t>
  </si>
  <si>
    <t>Scarico_C/Da_Gazzarella</t>
  </si>
  <si>
    <t>IT19TP00G0016DE001</t>
  </si>
  <si>
    <t>C_Da_Gazzarella</t>
  </si>
  <si>
    <t>IT19TP00G0020SC001</t>
  </si>
  <si>
    <t>Scarico_C/Da_Torre_Dell_Usce</t>
  </si>
  <si>
    <t>IT19TP00G0020DE001</t>
  </si>
  <si>
    <t>C_Da_Torre_Dell_Uscere</t>
  </si>
  <si>
    <t>Sardegna</t>
  </si>
  <si>
    <t>IT20Q90000000643</t>
  </si>
  <si>
    <t>Calasetta-Loc_Fornace_Mare</t>
  </si>
  <si>
    <t>IT20000000000163</t>
  </si>
  <si>
    <t>Calasetta_Loc_Fornace</t>
  </si>
  <si>
    <t>IT20Q90000000644</t>
  </si>
  <si>
    <t>Carloforte_Mare</t>
  </si>
  <si>
    <t>IT20000000000162</t>
  </si>
  <si>
    <t>Carloforte</t>
  </si>
  <si>
    <t>IT20Q90000000645</t>
  </si>
  <si>
    <t>Casic-Loc_Samarra_Mare</t>
  </si>
  <si>
    <t>IT20000000000146</t>
  </si>
  <si>
    <t>Casic_Loc_Sa_Marra</t>
  </si>
  <si>
    <t>IT20Q90000000646</t>
  </si>
  <si>
    <t>Portoscuso-</t>
  </si>
  <si>
    <t>IT20000000000161</t>
  </si>
  <si>
    <t>Portoscuso_Agglomerato_Ind_Le_Portovesme</t>
  </si>
  <si>
    <t>IT20Q90000000647</t>
  </si>
  <si>
    <t>S_Antioco-Loc_Ispruinis_Mare</t>
  </si>
  <si>
    <t>IT20000000000164</t>
  </si>
  <si>
    <t>S_Antioco_Loc_Is_Pruinis</t>
  </si>
  <si>
    <t>IT20Q90000000648</t>
  </si>
  <si>
    <t>Calagonone_Mare</t>
  </si>
  <si>
    <t>IT20000000000089</t>
  </si>
  <si>
    <t>Cala_Gonone</t>
  </si>
  <si>
    <t>IT20Q90000000649</t>
  </si>
  <si>
    <t>Siniscola-Loc_Abbafritta_Mare</t>
  </si>
  <si>
    <t>IT20000000000028</t>
  </si>
  <si>
    <t>Siniscola_Loc_Abba_Fritta</t>
  </si>
  <si>
    <t>IT20Q90000000650</t>
  </si>
  <si>
    <t>Tortoli-Loc_Baccasara_Mare</t>
  </si>
  <si>
    <t>IT20000000000094</t>
  </si>
  <si>
    <t>Tortoli_Loc_Baccasara</t>
  </si>
  <si>
    <t>IT20Q90000000651</t>
  </si>
  <si>
    <t>Oristano-</t>
  </si>
  <si>
    <t>IT20000000000058</t>
  </si>
  <si>
    <t>Oristano_Loc_Cirras_Z_I_Santa_Giusta</t>
  </si>
  <si>
    <t>IT20Q90000000652</t>
  </si>
  <si>
    <t>Castelsardo-</t>
  </si>
  <si>
    <t>IT20000000000001</t>
  </si>
  <si>
    <t>Castelsardo_Loc_Lu_Bagnu</t>
  </si>
  <si>
    <t>IT20Q90000000653</t>
  </si>
  <si>
    <t>IT20000000000033</t>
  </si>
  <si>
    <t>Castelsardo_Loc_Lungomare_Anglona</t>
  </si>
  <si>
    <t>IT20Q90000000654</t>
  </si>
  <si>
    <t>Golfoaranci_Mare</t>
  </si>
  <si>
    <t>IT20000000000211</t>
  </si>
  <si>
    <t>Golfo_Aranci</t>
  </si>
  <si>
    <t>IT20Q90000000655</t>
  </si>
  <si>
    <t>Lamaddalena-</t>
  </si>
  <si>
    <t>IT20000000000202</t>
  </si>
  <si>
    <t>La_Maddalena_Loc_Vaticano</t>
  </si>
  <si>
    <t>IT20Q90000000656</t>
  </si>
  <si>
    <t>Olbia-Zonaindustriale_Mare</t>
  </si>
  <si>
    <t>IT20000000000218</t>
  </si>
  <si>
    <t>Olbia_Zona_Industriale</t>
  </si>
  <si>
    <t>IT20Q90000000657</t>
  </si>
  <si>
    <t>Portotorres-</t>
  </si>
  <si>
    <t>IT20000000000159</t>
  </si>
  <si>
    <t>Porto_Torres_Agglomerato_Industriale</t>
  </si>
  <si>
    <t>IT20Q90000000658</t>
  </si>
  <si>
    <t>S_Teresadigallura-</t>
  </si>
  <si>
    <t>IT20000000000201</t>
  </si>
  <si>
    <t>S_Teresa_Di_Gallura_Loc_Muzzeddu</t>
  </si>
  <si>
    <t>IT20Q90000000659</t>
  </si>
  <si>
    <t>Riu_Pedrugnanu</t>
  </si>
  <si>
    <t>IT20000000000019</t>
  </si>
  <si>
    <t>Sorso_Sennori_Impianto_Consortile_Pedrugn</t>
  </si>
  <si>
    <t>IT20Q90000000660</t>
  </si>
  <si>
    <t>Trinitad_Agultu-</t>
  </si>
  <si>
    <t>IT20000000000223</t>
  </si>
  <si>
    <t>Trinita_D_Agultu_Loc_Isola_Rossa</t>
  </si>
  <si>
    <t>IT20Q90000000662</t>
  </si>
  <si>
    <t>IT20000000000032</t>
  </si>
  <si>
    <t>Castelsardo_Loc_La_Vignaccia</t>
  </si>
  <si>
    <t>IT20Q90000000663</t>
  </si>
  <si>
    <t>Portocervo_Mare</t>
  </si>
  <si>
    <t>IT20000000000208</t>
  </si>
  <si>
    <t>Porto_Cervo</t>
  </si>
  <si>
    <t>IT20Q90000000664</t>
  </si>
  <si>
    <t>Golfopevero-</t>
  </si>
  <si>
    <t>IT20000000000210</t>
  </si>
  <si>
    <t>Golfo_Pevero_Loc_Piccolo_Pevero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</si>
</sst>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6" x14ac:knownFonts="1">
    <font>
      <sz val="10"/>
      <color rgb="FF000000"/>
      <name val="Times New Roman"/>
      <charset val="204"/>
    </font>
    <font>
      <sz val="8"/>
      <color rgb="FF000000"/>
      <name val="Times New Roman"/>
      <family val="1"/>
      <charset val="1"/>
    </font>
    <font>
      <sz val="8"/>
      <color rgb="FF000000"/>
      <name val="Arial"/>
      <family val="2"/>
      <charset val="1"/>
    </font>
    <font>
      <sz val="9"/>
      <color rgb="FF000000"/>
      <name val="Arial"/>
      <family val="2"/>
      <charset val="1"/>
    </font>
    <font>
      <sz val="8"/>
      <name val="Arial"/>
      <family val="2"/>
      <charset val="1"/>
    </font>
    <font>
      <sz val="10"/>
      <color rgb="FF000000"/>
      <name val="Times New Roman"/>
      <family val="1"/>
      <charset val="1"/>
    </font>
  </fonts>
  <fills count="3">
    <fill>
      <patternFill patternType="none"/>
    </fill>
    <fill>
      <patternFill patternType="gray125"/>
    </fill>
    <fill>
      <patternFill patternType="solid">
        <fgColor rgb="FFC0C0C0"/>
        <bgColor rgb="FFBFBFB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 applyAlignment="1">
      <alignment horizontal="left" vertical="top"/>
    </xf>
    <xf numFmtId="0" fontId="2" fillId="0" borderId="0" xfId="0" applyFont="1" applyAlignment="1">
      <alignment horizontal="left" vertical="top"/>
    </xf>
    <xf numFmtId="0" fontId="3" fillId="0" borderId="0" xfId="0" applyFont="1" applyAlignment="1">
      <alignment horizontal="left" vertical="top"/>
    </xf>
    <xf numFmtId="0" fontId="4" fillId="2" borderId="1" xfId="0" applyFont="1" applyFill="1" applyBorder="1" applyAlignment="1">
      <alignment horizontal="left" vertical="top" wrapText="1"/>
    </xf>
    <xf numFmtId="0" fontId="4" fillId="2" borderId="1" xfId="0" applyFont="1" applyFill="1" applyBorder="1" applyAlignment="1">
      <alignment horizontal="left" vertical="top" wrapText="1" indent="4"/>
    </xf>
    <xf numFmtId="0" fontId="4" fillId="2" borderId="1" xfId="0" applyFont="1" applyFill="1" applyBorder="1" applyAlignment="1">
      <alignment horizontal="left" vertical="top" wrapText="1" indent="3"/>
    </xf>
    <xf numFmtId="0" fontId="4" fillId="2" borderId="1" xfId="0" applyFont="1" applyFill="1" applyBorder="1" applyAlignment="1">
      <alignment horizontal="center" vertical="top" wrapText="1"/>
    </xf>
    <xf numFmtId="0" fontId="4" fillId="2" borderId="1" xfId="0" applyFont="1" applyFill="1" applyBorder="1" applyAlignment="1">
      <alignment horizontal="left" vertical="top" wrapText="1" indent="2"/>
    </xf>
    <xf numFmtId="0" fontId="4" fillId="2" borderId="1" xfId="0" applyFont="1" applyFill="1" applyBorder="1" applyAlignment="1">
      <alignment horizontal="left" vertical="top" wrapText="1" indent="5"/>
    </xf>
    <xf numFmtId="0" fontId="5" fillId="0" borderId="0" xfId="0" applyFont="1" applyAlignment="1">
      <alignment horizontal="left" vertical="top"/>
    </xf>
    <xf numFmtId="0" fontId="4" fillId="0" borderId="2" xfId="0" applyFont="1" applyBorder="1" applyAlignment="1">
      <alignment horizontal="left" vertical="top" wrapText="1"/>
    </xf>
    <xf numFmtId="0" fontId="4" fillId="0" borderId="1" xfId="0" applyFont="1" applyBorder="1" applyAlignment="1">
      <alignment horizontal="left" vertical="top" wrapText="1"/>
    </xf>
    <xf numFmtId="164" fontId="2" fillId="0" borderId="1" xfId="0" applyNumberFormat="1" applyFont="1" applyBorder="1" applyAlignment="1">
      <alignment horizontal="center" vertical="top" shrinkToFit="1"/>
    </xf>
    <xf numFmtId="1" fontId="2" fillId="0" borderId="1" xfId="0" applyNumberFormat="1" applyFont="1" applyBorder="1" applyAlignment="1">
      <alignment horizontal="right" vertical="top" shrinkToFit="1"/>
    </xf>
    <xf numFmtId="164" fontId="1" fillId="0" borderId="0" xfId="0" applyNumberFormat="1" applyFont="1" applyAlignment="1">
      <alignment horizontal="left" vertical="top"/>
    </xf>
    <xf numFmtId="0" fontId="4" fillId="0" borderId="2" xfId="0" applyFont="1" applyBorder="1" applyAlignment="1">
      <alignment horizontal="left" vertical="center" wrapText="1"/>
    </xf>
    <xf numFmtId="0" fontId="4" fillId="0" borderId="2" xfId="0" applyFont="1" applyBorder="1" applyAlignment="1">
      <alignment horizontal="left" vertical="center" wrapText="1" inden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C0504D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BFBFB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8.55263157894737E-2"/>
          <c:y val="4.1962699822380101E-2"/>
          <c:w val="0.87547558655675295"/>
          <c:h val="0.86922735346358804"/>
        </c:manualLayout>
      </c:layout>
      <c:scatterChart>
        <c:scatterStyle val="lineMarker"/>
        <c:varyColors val="0"/>
        <c:ser>
          <c:idx val="0"/>
          <c:order val="0"/>
          <c:tx>
            <c:v>tutti</c:v>
          </c:tx>
          <c:spPr>
            <a:ln w="28440">
              <a:noFill/>
            </a:ln>
          </c:spPr>
          <c:marker>
            <c:symbol val="circle"/>
            <c:size val="3"/>
            <c:spPr>
              <a:solidFill>
                <a:srgbClr val="000000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IT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'Table 1'!$E$2:$E$237</c:f>
              <c:numCache>
                <c:formatCode>0.00000</c:formatCode>
                <c:ptCount val="236"/>
                <c:pt idx="0">
                  <c:v>12.259</c:v>
                </c:pt>
                <c:pt idx="1">
                  <c:v>12.381</c:v>
                </c:pt>
                <c:pt idx="2">
                  <c:v>12.555999999999999</c:v>
                </c:pt>
                <c:pt idx="3">
                  <c:v>12.334</c:v>
                </c:pt>
                <c:pt idx="4">
                  <c:v>13.6228</c:v>
                </c:pt>
                <c:pt idx="5">
                  <c:v>13.6915</c:v>
                </c:pt>
                <c:pt idx="6">
                  <c:v>13.18995</c:v>
                </c:pt>
                <c:pt idx="7">
                  <c:v>13.507199999999999</c:v>
                </c:pt>
                <c:pt idx="8">
                  <c:v>13.5928</c:v>
                </c:pt>
                <c:pt idx="9">
                  <c:v>13.6915</c:v>
                </c:pt>
                <c:pt idx="10">
                  <c:v>13.2415</c:v>
                </c:pt>
                <c:pt idx="11">
                  <c:v>8.20472</c:v>
                </c:pt>
                <c:pt idx="12">
                  <c:v>8.69895</c:v>
                </c:pt>
                <c:pt idx="13">
                  <c:v>8.6464800000000004</c:v>
                </c:pt>
                <c:pt idx="14">
                  <c:v>7.6546599999999998</c:v>
                </c:pt>
                <c:pt idx="15">
                  <c:v>7.83805</c:v>
                </c:pt>
                <c:pt idx="16">
                  <c:v>9.4988100000000006</c:v>
                </c:pt>
                <c:pt idx="17">
                  <c:v>7.9558</c:v>
                </c:pt>
                <c:pt idx="18">
                  <c:v>8.4727499999999996</c:v>
                </c:pt>
                <c:pt idx="19">
                  <c:v>8.9263600000000007</c:v>
                </c:pt>
                <c:pt idx="20">
                  <c:v>9.9617799999999992</c:v>
                </c:pt>
                <c:pt idx="21">
                  <c:v>10.025510000000001</c:v>
                </c:pt>
                <c:pt idx="22">
                  <c:v>8.0452200000000005</c:v>
                </c:pt>
                <c:pt idx="23">
                  <c:v>9.3270800000000005</c:v>
                </c:pt>
                <c:pt idx="24">
                  <c:v>8.6657499999999992</c:v>
                </c:pt>
                <c:pt idx="25">
                  <c:v>8.1780600000000003</c:v>
                </c:pt>
                <c:pt idx="26">
                  <c:v>8.2405100000000004</c:v>
                </c:pt>
                <c:pt idx="27">
                  <c:v>8.32348</c:v>
                </c:pt>
                <c:pt idx="28">
                  <c:v>8.2644500000000001</c:v>
                </c:pt>
                <c:pt idx="29">
                  <c:v>8.7947000000000006</c:v>
                </c:pt>
                <c:pt idx="30">
                  <c:v>9.3897099999999991</c:v>
                </c:pt>
                <c:pt idx="31">
                  <c:v>8.7561099999999996</c:v>
                </c:pt>
                <c:pt idx="32">
                  <c:v>9.2864000000000004</c:v>
                </c:pt>
                <c:pt idx="33">
                  <c:v>9.2442700000000002</c:v>
                </c:pt>
                <c:pt idx="34">
                  <c:v>9.1304400000000001</c:v>
                </c:pt>
                <c:pt idx="35">
                  <c:v>8.9510299999999994</c:v>
                </c:pt>
                <c:pt idx="36">
                  <c:v>9.0061400000000003</c:v>
                </c:pt>
                <c:pt idx="37">
                  <c:v>9.2479999999999993</c:v>
                </c:pt>
                <c:pt idx="38">
                  <c:v>7.8760899999999996</c:v>
                </c:pt>
                <c:pt idx="39">
                  <c:v>9.4139499999999998</c:v>
                </c:pt>
                <c:pt idx="40">
                  <c:v>8.1136099999999995</c:v>
                </c:pt>
                <c:pt idx="41">
                  <c:v>8.8234100000000009</c:v>
                </c:pt>
                <c:pt idx="42">
                  <c:v>9.8614499999999996</c:v>
                </c:pt>
                <c:pt idx="43">
                  <c:v>8.98095</c:v>
                </c:pt>
                <c:pt idx="44">
                  <c:v>7.63192</c:v>
                </c:pt>
                <c:pt idx="45">
                  <c:v>7.6223999999999998</c:v>
                </c:pt>
                <c:pt idx="46">
                  <c:v>8.2951300000000003</c:v>
                </c:pt>
                <c:pt idx="47">
                  <c:v>8.1666000000000007</c:v>
                </c:pt>
                <c:pt idx="48">
                  <c:v>9.5091599999999996</c:v>
                </c:pt>
                <c:pt idx="49">
                  <c:v>9.6452000000000009</c:v>
                </c:pt>
                <c:pt idx="50">
                  <c:v>9.5896399999999993</c:v>
                </c:pt>
                <c:pt idx="51">
                  <c:v>10.354990000000001</c:v>
                </c:pt>
                <c:pt idx="52">
                  <c:v>10.228260000000001</c:v>
                </c:pt>
                <c:pt idx="53">
                  <c:v>10.44403</c:v>
                </c:pt>
                <c:pt idx="54">
                  <c:v>10.543570000000001</c:v>
                </c:pt>
                <c:pt idx="55">
                  <c:v>11.011520000000001</c:v>
                </c:pt>
                <c:pt idx="56">
                  <c:v>11.2746</c:v>
                </c:pt>
                <c:pt idx="57">
                  <c:v>13.691000000000001</c:v>
                </c:pt>
                <c:pt idx="58">
                  <c:v>12.611499999999999</c:v>
                </c:pt>
                <c:pt idx="59">
                  <c:v>12.55603</c:v>
                </c:pt>
                <c:pt idx="60">
                  <c:v>12.68538</c:v>
                </c:pt>
                <c:pt idx="61">
                  <c:v>12.45196</c:v>
                </c:pt>
                <c:pt idx="62">
                  <c:v>12.056789999999999</c:v>
                </c:pt>
                <c:pt idx="63">
                  <c:v>12.999029999999999</c:v>
                </c:pt>
                <c:pt idx="64">
                  <c:v>13.14344</c:v>
                </c:pt>
                <c:pt idx="65">
                  <c:v>13.40756</c:v>
                </c:pt>
                <c:pt idx="66">
                  <c:v>13.263680000000001</c:v>
                </c:pt>
                <c:pt idx="67">
                  <c:v>13.435930000000001</c:v>
                </c:pt>
                <c:pt idx="68">
                  <c:v>14.24845</c:v>
                </c:pt>
                <c:pt idx="69">
                  <c:v>14.3133</c:v>
                </c:pt>
                <c:pt idx="70">
                  <c:v>14.998699999999999</c:v>
                </c:pt>
                <c:pt idx="71">
                  <c:v>15.00543</c:v>
                </c:pt>
                <c:pt idx="72">
                  <c:v>15.1175</c:v>
                </c:pt>
                <c:pt idx="73">
                  <c:v>13.8841</c:v>
                </c:pt>
                <c:pt idx="74">
                  <c:v>13.834099999999999</c:v>
                </c:pt>
                <c:pt idx="75">
                  <c:v>14.093170000000001</c:v>
                </c:pt>
                <c:pt idx="76">
                  <c:v>14.300800000000001</c:v>
                </c:pt>
                <c:pt idx="77">
                  <c:v>14.067500000000001</c:v>
                </c:pt>
                <c:pt idx="78">
                  <c:v>14.334099999999999</c:v>
                </c:pt>
                <c:pt idx="79">
                  <c:v>14.3508</c:v>
                </c:pt>
                <c:pt idx="80">
                  <c:v>14.3508</c:v>
                </c:pt>
                <c:pt idx="81">
                  <c:v>14.242800000000001</c:v>
                </c:pt>
                <c:pt idx="82">
                  <c:v>14.210900000000001</c:v>
                </c:pt>
                <c:pt idx="83">
                  <c:v>14.2531</c:v>
                </c:pt>
                <c:pt idx="84">
                  <c:v>14.467499999999999</c:v>
                </c:pt>
                <c:pt idx="85">
                  <c:v>15.0008</c:v>
                </c:pt>
                <c:pt idx="86">
                  <c:v>14.6341</c:v>
                </c:pt>
                <c:pt idx="87">
                  <c:v>15.5175</c:v>
                </c:pt>
                <c:pt idx="88">
                  <c:v>15.6175</c:v>
                </c:pt>
                <c:pt idx="89">
                  <c:v>15.1675</c:v>
                </c:pt>
                <c:pt idx="90">
                  <c:v>14.934100000000001</c:v>
                </c:pt>
                <c:pt idx="91">
                  <c:v>15.584099999999999</c:v>
                </c:pt>
                <c:pt idx="92">
                  <c:v>14.584099999999999</c:v>
                </c:pt>
                <c:pt idx="93">
                  <c:v>14.6008</c:v>
                </c:pt>
                <c:pt idx="94">
                  <c:v>14.6341</c:v>
                </c:pt>
                <c:pt idx="95">
                  <c:v>15.567500000000001</c:v>
                </c:pt>
                <c:pt idx="96">
                  <c:v>14.9841</c:v>
                </c:pt>
                <c:pt idx="97">
                  <c:v>15.2341</c:v>
                </c:pt>
                <c:pt idx="98">
                  <c:v>15.2508</c:v>
                </c:pt>
                <c:pt idx="99">
                  <c:v>15.2341</c:v>
                </c:pt>
                <c:pt idx="100">
                  <c:v>14.4841</c:v>
                </c:pt>
                <c:pt idx="101">
                  <c:v>14.5175</c:v>
                </c:pt>
                <c:pt idx="102">
                  <c:v>14.5175</c:v>
                </c:pt>
                <c:pt idx="103">
                  <c:v>16.667999999999999</c:v>
                </c:pt>
                <c:pt idx="104">
                  <c:v>17.109780000000001</c:v>
                </c:pt>
                <c:pt idx="105">
                  <c:v>18.510300000000001</c:v>
                </c:pt>
                <c:pt idx="106">
                  <c:v>18.510300000000001</c:v>
                </c:pt>
                <c:pt idx="107">
                  <c:v>15.4779</c:v>
                </c:pt>
                <c:pt idx="108">
                  <c:v>16.139330000000001</c:v>
                </c:pt>
                <c:pt idx="109">
                  <c:v>16.016680000000001</c:v>
                </c:pt>
                <c:pt idx="110">
                  <c:v>15.88974</c:v>
                </c:pt>
                <c:pt idx="111">
                  <c:v>15.829499999999999</c:v>
                </c:pt>
                <c:pt idx="112">
                  <c:v>16.186330000000002</c:v>
                </c:pt>
                <c:pt idx="113">
                  <c:v>16.93207</c:v>
                </c:pt>
                <c:pt idx="114">
                  <c:v>16.81691</c:v>
                </c:pt>
                <c:pt idx="115">
                  <c:v>16.266829999999999</c:v>
                </c:pt>
                <c:pt idx="116">
                  <c:v>16.52176</c:v>
                </c:pt>
                <c:pt idx="117">
                  <c:v>16.7075</c:v>
                </c:pt>
                <c:pt idx="118">
                  <c:v>16.696739999999998</c:v>
                </c:pt>
                <c:pt idx="119">
                  <c:v>17.118210000000001</c:v>
                </c:pt>
                <c:pt idx="120">
                  <c:v>16.563320000000001</c:v>
                </c:pt>
                <c:pt idx="121">
                  <c:v>17.28576</c:v>
                </c:pt>
                <c:pt idx="122">
                  <c:v>17.230219999999999</c:v>
                </c:pt>
                <c:pt idx="123">
                  <c:v>16.408110000000001</c:v>
                </c:pt>
                <c:pt idx="124">
                  <c:v>17.18187</c:v>
                </c:pt>
                <c:pt idx="125">
                  <c:v>17.244599999999998</c:v>
                </c:pt>
                <c:pt idx="126">
                  <c:v>17.427409999999998</c:v>
                </c:pt>
                <c:pt idx="127">
                  <c:v>18.002050000000001</c:v>
                </c:pt>
                <c:pt idx="128">
                  <c:v>18.316079999999999</c:v>
                </c:pt>
                <c:pt idx="129">
                  <c:v>17.925129999999999</c:v>
                </c:pt>
                <c:pt idx="130">
                  <c:v>18.4678</c:v>
                </c:pt>
                <c:pt idx="131">
                  <c:v>17.10548</c:v>
                </c:pt>
                <c:pt idx="132">
                  <c:v>16.855370000000001</c:v>
                </c:pt>
                <c:pt idx="133">
                  <c:v>15.87196</c:v>
                </c:pt>
                <c:pt idx="134">
                  <c:v>16.511520000000001</c:v>
                </c:pt>
                <c:pt idx="135">
                  <c:v>15.93506</c:v>
                </c:pt>
                <c:pt idx="136">
                  <c:v>16.40663</c:v>
                </c:pt>
                <c:pt idx="137">
                  <c:v>16.093920000000001</c:v>
                </c:pt>
                <c:pt idx="138">
                  <c:v>16.098659999999999</c:v>
                </c:pt>
                <c:pt idx="139">
                  <c:v>16.407319999999999</c:v>
                </c:pt>
                <c:pt idx="140">
                  <c:v>15.77121</c:v>
                </c:pt>
                <c:pt idx="141">
                  <c:v>16.63524</c:v>
                </c:pt>
                <c:pt idx="142">
                  <c:v>15.798159999999999</c:v>
                </c:pt>
                <c:pt idx="143">
                  <c:v>15.78496</c:v>
                </c:pt>
                <c:pt idx="144">
                  <c:v>15.8187</c:v>
                </c:pt>
                <c:pt idx="145">
                  <c:v>16.833459999999999</c:v>
                </c:pt>
                <c:pt idx="146">
                  <c:v>15.77332</c:v>
                </c:pt>
                <c:pt idx="147">
                  <c:v>15.47733</c:v>
                </c:pt>
                <c:pt idx="148">
                  <c:v>16.11655</c:v>
                </c:pt>
                <c:pt idx="149">
                  <c:v>16.875409999999999</c:v>
                </c:pt>
                <c:pt idx="150">
                  <c:v>16.604859999999999</c:v>
                </c:pt>
                <c:pt idx="151">
                  <c:v>16.56157</c:v>
                </c:pt>
                <c:pt idx="152">
                  <c:v>16.558199999999999</c:v>
                </c:pt>
                <c:pt idx="153">
                  <c:v>17.137589999999999</c:v>
                </c:pt>
                <c:pt idx="154">
                  <c:v>17.015699999999999</c:v>
                </c:pt>
                <c:pt idx="155">
                  <c:v>17.018879999999999</c:v>
                </c:pt>
                <c:pt idx="156">
                  <c:v>16.039650000000002</c:v>
                </c:pt>
                <c:pt idx="157">
                  <c:v>15.907640000000001</c:v>
                </c:pt>
                <c:pt idx="158">
                  <c:v>15.842599999999999</c:v>
                </c:pt>
                <c:pt idx="159">
                  <c:v>16.194040000000001</c:v>
                </c:pt>
                <c:pt idx="160">
                  <c:v>15.747249999999999</c:v>
                </c:pt>
                <c:pt idx="161">
                  <c:v>15.725149999999999</c:v>
                </c:pt>
                <c:pt idx="162">
                  <c:v>15.63724</c:v>
                </c:pt>
                <c:pt idx="163">
                  <c:v>15.64579</c:v>
                </c:pt>
                <c:pt idx="164">
                  <c:v>12.60566</c:v>
                </c:pt>
                <c:pt idx="165">
                  <c:v>13.949820000000001</c:v>
                </c:pt>
                <c:pt idx="166">
                  <c:v>12.949350000000001</c:v>
                </c:pt>
                <c:pt idx="167">
                  <c:v>13.53185</c:v>
                </c:pt>
                <c:pt idx="168">
                  <c:v>13.45623</c:v>
                </c:pt>
                <c:pt idx="169">
                  <c:v>14.26641</c:v>
                </c:pt>
                <c:pt idx="170">
                  <c:v>14.207520000000001</c:v>
                </c:pt>
                <c:pt idx="171">
                  <c:v>15.17407</c:v>
                </c:pt>
                <c:pt idx="172">
                  <c:v>14.450850000000001</c:v>
                </c:pt>
                <c:pt idx="173">
                  <c:v>14.88725</c:v>
                </c:pt>
                <c:pt idx="174">
                  <c:v>14.952360000000001</c:v>
                </c:pt>
                <c:pt idx="175">
                  <c:v>15.08727</c:v>
                </c:pt>
                <c:pt idx="176">
                  <c:v>15.508979999999999</c:v>
                </c:pt>
                <c:pt idx="177">
                  <c:v>15.5382</c:v>
                </c:pt>
                <c:pt idx="178">
                  <c:v>15.22691</c:v>
                </c:pt>
                <c:pt idx="179">
                  <c:v>14.989420000000001</c:v>
                </c:pt>
                <c:pt idx="180">
                  <c:v>15.384040000000001</c:v>
                </c:pt>
                <c:pt idx="181">
                  <c:v>15.337479999999999</c:v>
                </c:pt>
                <c:pt idx="182">
                  <c:v>15.42254</c:v>
                </c:pt>
                <c:pt idx="183">
                  <c:v>15.39612</c:v>
                </c:pt>
                <c:pt idx="184">
                  <c:v>15.353759999999999</c:v>
                </c:pt>
                <c:pt idx="185">
                  <c:v>14.69609</c:v>
                </c:pt>
                <c:pt idx="186">
                  <c:v>14.35801</c:v>
                </c:pt>
                <c:pt idx="187">
                  <c:v>15.428900000000001</c:v>
                </c:pt>
                <c:pt idx="188">
                  <c:v>15.31898</c:v>
                </c:pt>
                <c:pt idx="189">
                  <c:v>13.554</c:v>
                </c:pt>
                <c:pt idx="190">
                  <c:v>13.494400000000001</c:v>
                </c:pt>
                <c:pt idx="191">
                  <c:v>13.01153</c:v>
                </c:pt>
                <c:pt idx="192">
                  <c:v>13.223929999999999</c:v>
                </c:pt>
                <c:pt idx="193">
                  <c:v>13.54274</c:v>
                </c:pt>
                <c:pt idx="194">
                  <c:v>14.029629999999999</c:v>
                </c:pt>
                <c:pt idx="195">
                  <c:v>14.15563</c:v>
                </c:pt>
                <c:pt idx="196">
                  <c:v>13.706060000000001</c:v>
                </c:pt>
                <c:pt idx="197">
                  <c:v>13.0776</c:v>
                </c:pt>
                <c:pt idx="198">
                  <c:v>13.65776</c:v>
                </c:pt>
                <c:pt idx="199">
                  <c:v>13.61354</c:v>
                </c:pt>
                <c:pt idx="200">
                  <c:v>13.65812</c:v>
                </c:pt>
                <c:pt idx="201">
                  <c:v>13.04177</c:v>
                </c:pt>
                <c:pt idx="202">
                  <c:v>13.352600000000001</c:v>
                </c:pt>
                <c:pt idx="203">
                  <c:v>13.43896</c:v>
                </c:pt>
                <c:pt idx="204">
                  <c:v>14.91235</c:v>
                </c:pt>
                <c:pt idx="205">
                  <c:v>14.616479999999999</c:v>
                </c:pt>
                <c:pt idx="206">
                  <c:v>14.42695</c:v>
                </c:pt>
                <c:pt idx="207">
                  <c:v>14.82169</c:v>
                </c:pt>
                <c:pt idx="208">
                  <c:v>15.115460000000001</c:v>
                </c:pt>
                <c:pt idx="209">
                  <c:v>15.21007</c:v>
                </c:pt>
                <c:pt idx="210">
                  <c:v>12.844849999999999</c:v>
                </c:pt>
                <c:pt idx="211">
                  <c:v>12.597099999999999</c:v>
                </c:pt>
                <c:pt idx="212">
                  <c:v>11.9361</c:v>
                </c:pt>
                <c:pt idx="213">
                  <c:v>12.47879</c:v>
                </c:pt>
                <c:pt idx="214">
                  <c:v>12.76923</c:v>
                </c:pt>
                <c:pt idx="215">
                  <c:v>8.3699300000000001</c:v>
                </c:pt>
                <c:pt idx="216">
                  <c:v>8.3258299999999998</c:v>
                </c:pt>
                <c:pt idx="217">
                  <c:v>9.0410799999999991</c:v>
                </c:pt>
                <c:pt idx="218">
                  <c:v>8.3994499999999999</c:v>
                </c:pt>
                <c:pt idx="219">
                  <c:v>8.4602400000000006</c:v>
                </c:pt>
                <c:pt idx="220">
                  <c:v>9.6393599999999999</c:v>
                </c:pt>
                <c:pt idx="221">
                  <c:v>9.7981800000000003</c:v>
                </c:pt>
                <c:pt idx="222">
                  <c:v>9.6952700000000007</c:v>
                </c:pt>
                <c:pt idx="223">
                  <c:v>8.5607000000000006</c:v>
                </c:pt>
                <c:pt idx="224">
                  <c:v>8.6782800000000009</c:v>
                </c:pt>
                <c:pt idx="225">
                  <c:v>8.6788600000000002</c:v>
                </c:pt>
                <c:pt idx="226">
                  <c:v>9.6227199999999993</c:v>
                </c:pt>
                <c:pt idx="227">
                  <c:v>9.4362200000000005</c:v>
                </c:pt>
                <c:pt idx="228">
                  <c:v>9.5243699999999993</c:v>
                </c:pt>
                <c:pt idx="229">
                  <c:v>8.3716600000000003</c:v>
                </c:pt>
                <c:pt idx="230">
                  <c:v>9.1960200000000007</c:v>
                </c:pt>
                <c:pt idx="231">
                  <c:v>8.5656400000000001</c:v>
                </c:pt>
                <c:pt idx="232">
                  <c:v>8.8574300000000008</c:v>
                </c:pt>
                <c:pt idx="233">
                  <c:v>8.7192399999999992</c:v>
                </c:pt>
                <c:pt idx="234">
                  <c:v>9.5430499999999991</c:v>
                </c:pt>
                <c:pt idx="235">
                  <c:v>9.5411099999999998</c:v>
                </c:pt>
              </c:numCache>
            </c:numRef>
          </c:xVal>
          <c:yVal>
            <c:numRef>
              <c:f>'Table 1'!$D$2:$D$237</c:f>
              <c:numCache>
                <c:formatCode>0.00000</c:formatCode>
                <c:ptCount val="236"/>
                <c:pt idx="0">
                  <c:v>45.429000000000002</c:v>
                </c:pt>
                <c:pt idx="1">
                  <c:v>45.345999999999997</c:v>
                </c:pt>
                <c:pt idx="2">
                  <c:v>45.415999999999997</c:v>
                </c:pt>
                <c:pt idx="3">
                  <c:v>45.09</c:v>
                </c:pt>
                <c:pt idx="4">
                  <c:v>45.753500000000003</c:v>
                </c:pt>
                <c:pt idx="5">
                  <c:v>45.640099999999997</c:v>
                </c:pt>
                <c:pt idx="6">
                  <c:v>45.626620000000003</c:v>
                </c:pt>
                <c:pt idx="7">
                  <c:v>45.671100000000003</c:v>
                </c:pt>
                <c:pt idx="8">
                  <c:v>45.694099999999999</c:v>
                </c:pt>
                <c:pt idx="9">
                  <c:v>45.640099999999997</c:v>
                </c:pt>
                <c:pt idx="10">
                  <c:v>45.65372</c:v>
                </c:pt>
                <c:pt idx="11">
                  <c:v>44.014560000000003</c:v>
                </c:pt>
                <c:pt idx="12">
                  <c:v>44.3902</c:v>
                </c:pt>
                <c:pt idx="13">
                  <c:v>44.3703</c:v>
                </c:pt>
                <c:pt idx="14">
                  <c:v>43.767220000000002</c:v>
                </c:pt>
                <c:pt idx="15">
                  <c:v>43.803820000000002</c:v>
                </c:pt>
                <c:pt idx="16">
                  <c:v>44.212580000000003</c:v>
                </c:pt>
                <c:pt idx="17">
                  <c:v>43.837420000000002</c:v>
                </c:pt>
                <c:pt idx="18">
                  <c:v>44.250950000000003</c:v>
                </c:pt>
                <c:pt idx="19">
                  <c:v>44.412399999999998</c:v>
                </c:pt>
                <c:pt idx="20">
                  <c:v>44.079810000000002</c:v>
                </c:pt>
                <c:pt idx="21">
                  <c:v>44.057409999999997</c:v>
                </c:pt>
                <c:pt idx="22">
                  <c:v>43.866120000000002</c:v>
                </c:pt>
                <c:pt idx="23">
                  <c:v>44.295990000000003</c:v>
                </c:pt>
                <c:pt idx="24">
                  <c:v>44.376800000000003</c:v>
                </c:pt>
                <c:pt idx="25">
                  <c:v>43.96031</c:v>
                </c:pt>
                <c:pt idx="26">
                  <c:v>44.054180000000002</c:v>
                </c:pt>
                <c:pt idx="27">
                  <c:v>44.152079999999998</c:v>
                </c:pt>
                <c:pt idx="28">
                  <c:v>44.108260000000001</c:v>
                </c:pt>
                <c:pt idx="29">
                  <c:v>44.409979999999997</c:v>
                </c:pt>
                <c:pt idx="30">
                  <c:v>44.256959999999999</c:v>
                </c:pt>
                <c:pt idx="31">
                  <c:v>44.418030000000002</c:v>
                </c:pt>
                <c:pt idx="32">
                  <c:v>44.31353</c:v>
                </c:pt>
                <c:pt idx="33">
                  <c:v>44.320039999999999</c:v>
                </c:pt>
                <c:pt idx="34">
                  <c:v>44.351610000000001</c:v>
                </c:pt>
                <c:pt idx="35">
                  <c:v>44.382629999999999</c:v>
                </c:pt>
                <c:pt idx="36">
                  <c:v>44.37509</c:v>
                </c:pt>
                <c:pt idx="37">
                  <c:v>44.322980000000001</c:v>
                </c:pt>
                <c:pt idx="38">
                  <c:v>43.81382</c:v>
                </c:pt>
                <c:pt idx="39">
                  <c:v>44.247689999999999</c:v>
                </c:pt>
                <c:pt idx="40">
                  <c:v>43.908619999999999</c:v>
                </c:pt>
                <c:pt idx="41">
                  <c:v>44.405760000000001</c:v>
                </c:pt>
                <c:pt idx="42">
                  <c:v>44.111460000000001</c:v>
                </c:pt>
                <c:pt idx="43">
                  <c:v>44.376869999999997</c:v>
                </c:pt>
                <c:pt idx="44">
                  <c:v>43.773620000000001</c:v>
                </c:pt>
                <c:pt idx="45">
                  <c:v>43.76972</c:v>
                </c:pt>
                <c:pt idx="46">
                  <c:v>44.137459999999997</c:v>
                </c:pt>
                <c:pt idx="47">
                  <c:v>43.940150000000003</c:v>
                </c:pt>
                <c:pt idx="48">
                  <c:v>44.206229999999998</c:v>
                </c:pt>
                <c:pt idx="49">
                  <c:v>44.127800000000001</c:v>
                </c:pt>
                <c:pt idx="50">
                  <c:v>44.167900000000003</c:v>
                </c:pt>
                <c:pt idx="51">
                  <c:v>42.788229999999999</c:v>
                </c:pt>
                <c:pt idx="52">
                  <c:v>42.746879999999997</c:v>
                </c:pt>
                <c:pt idx="53">
                  <c:v>43.378149999999998</c:v>
                </c:pt>
                <c:pt idx="54">
                  <c:v>43.104109999999999</c:v>
                </c:pt>
                <c:pt idx="55">
                  <c:v>42.708300000000001</c:v>
                </c:pt>
                <c:pt idx="56">
                  <c:v>42.414999999999999</c:v>
                </c:pt>
                <c:pt idx="57">
                  <c:v>43.377099999999999</c:v>
                </c:pt>
                <c:pt idx="58">
                  <c:v>41.456780000000002</c:v>
                </c:pt>
                <c:pt idx="59">
                  <c:v>41.505600000000001</c:v>
                </c:pt>
                <c:pt idx="60">
                  <c:v>41.453589999999998</c:v>
                </c:pt>
                <c:pt idx="61">
                  <c:v>41.624189999999999</c:v>
                </c:pt>
                <c:pt idx="62">
                  <c:v>41.953180000000003</c:v>
                </c:pt>
                <c:pt idx="63">
                  <c:v>41.30341</c:v>
                </c:pt>
                <c:pt idx="64">
                  <c:v>41.232619999999997</c:v>
                </c:pt>
                <c:pt idx="65">
                  <c:v>41.254109999999997</c:v>
                </c:pt>
                <c:pt idx="66">
                  <c:v>41.289409999999997</c:v>
                </c:pt>
                <c:pt idx="67">
                  <c:v>40.796979999999998</c:v>
                </c:pt>
                <c:pt idx="68">
                  <c:v>42.43985</c:v>
                </c:pt>
                <c:pt idx="69">
                  <c:v>42.400689999999997</c:v>
                </c:pt>
                <c:pt idx="70">
                  <c:v>42.006059999999998</c:v>
                </c:pt>
                <c:pt idx="71">
                  <c:v>41.961930000000002</c:v>
                </c:pt>
                <c:pt idx="72">
                  <c:v>40.178199999999997</c:v>
                </c:pt>
                <c:pt idx="73">
                  <c:v>41.115600000000001</c:v>
                </c:pt>
                <c:pt idx="74">
                  <c:v>41.188899999999997</c:v>
                </c:pt>
                <c:pt idx="75">
                  <c:v>41.20337</c:v>
                </c:pt>
                <c:pt idx="76">
                  <c:v>40.864899999999999</c:v>
                </c:pt>
                <c:pt idx="77">
                  <c:v>40.873899999999999</c:v>
                </c:pt>
                <c:pt idx="78">
                  <c:v>40.616</c:v>
                </c:pt>
                <c:pt idx="79">
                  <c:v>40.5822</c:v>
                </c:pt>
                <c:pt idx="80">
                  <c:v>40.628900000000002</c:v>
                </c:pt>
                <c:pt idx="81">
                  <c:v>40.537500000000001</c:v>
                </c:pt>
                <c:pt idx="82">
                  <c:v>40.5625</c:v>
                </c:pt>
                <c:pt idx="83">
                  <c:v>40.560099999999998</c:v>
                </c:pt>
                <c:pt idx="84">
                  <c:v>40.7241</c:v>
                </c:pt>
                <c:pt idx="85">
                  <c:v>40.452399999999997</c:v>
                </c:pt>
                <c:pt idx="86">
                  <c:v>40.649000000000001</c:v>
                </c:pt>
                <c:pt idx="87">
                  <c:v>40.071899999999999</c:v>
                </c:pt>
                <c:pt idx="88">
                  <c:v>40.075400000000002</c:v>
                </c:pt>
                <c:pt idx="89">
                  <c:v>40.136099999999999</c:v>
                </c:pt>
                <c:pt idx="90">
                  <c:v>40.2742</c:v>
                </c:pt>
                <c:pt idx="91">
                  <c:v>40.081400000000002</c:v>
                </c:pt>
                <c:pt idx="92">
                  <c:v>40.634300000000003</c:v>
                </c:pt>
                <c:pt idx="93">
                  <c:v>40.6357</c:v>
                </c:pt>
                <c:pt idx="94">
                  <c:v>40.647199999999998</c:v>
                </c:pt>
                <c:pt idx="95">
                  <c:v>40.079000000000001</c:v>
                </c:pt>
                <c:pt idx="96">
                  <c:v>40.246299999999998</c:v>
                </c:pt>
                <c:pt idx="97">
                  <c:v>40.108899999999998</c:v>
                </c:pt>
                <c:pt idx="98">
                  <c:v>40.084200000000003</c:v>
                </c:pt>
                <c:pt idx="99">
                  <c:v>40.1295</c:v>
                </c:pt>
                <c:pt idx="100">
                  <c:v>40.630400000000002</c:v>
                </c:pt>
                <c:pt idx="101">
                  <c:v>40.612099999999998</c:v>
                </c:pt>
                <c:pt idx="102">
                  <c:v>40.610199999999999</c:v>
                </c:pt>
                <c:pt idx="103">
                  <c:v>41.702300000000001</c:v>
                </c:pt>
                <c:pt idx="104">
                  <c:v>41.055250000000001</c:v>
                </c:pt>
                <c:pt idx="105">
                  <c:v>40.167200000000001</c:v>
                </c:pt>
                <c:pt idx="106">
                  <c:v>40.167200000000001</c:v>
                </c:pt>
                <c:pt idx="107">
                  <c:v>42.1128</c:v>
                </c:pt>
                <c:pt idx="108">
                  <c:v>41.382480000000001</c:v>
                </c:pt>
                <c:pt idx="109">
                  <c:v>41.948630000000001</c:v>
                </c:pt>
                <c:pt idx="110">
                  <c:v>41.927680000000002</c:v>
                </c:pt>
                <c:pt idx="111">
                  <c:v>41.943040000000003</c:v>
                </c:pt>
                <c:pt idx="112">
                  <c:v>41.882919999999999</c:v>
                </c:pt>
                <c:pt idx="113">
                  <c:v>41.113190000000003</c:v>
                </c:pt>
                <c:pt idx="114">
                  <c:v>41.149340000000002</c:v>
                </c:pt>
                <c:pt idx="115">
                  <c:v>41.348410000000001</c:v>
                </c:pt>
                <c:pt idx="116">
                  <c:v>41.242080000000001</c:v>
                </c:pt>
                <c:pt idx="117">
                  <c:v>41.104100000000003</c:v>
                </c:pt>
                <c:pt idx="118">
                  <c:v>41.17313</c:v>
                </c:pt>
                <c:pt idx="119">
                  <c:v>41.065800000000003</c:v>
                </c:pt>
                <c:pt idx="120">
                  <c:v>41.221989999999998</c:v>
                </c:pt>
                <c:pt idx="121">
                  <c:v>40.967440000000003</c:v>
                </c:pt>
                <c:pt idx="122">
                  <c:v>40.992919999999998</c:v>
                </c:pt>
                <c:pt idx="123">
                  <c:v>41.283149999999999</c:v>
                </c:pt>
                <c:pt idx="124">
                  <c:v>40.497729999999997</c:v>
                </c:pt>
                <c:pt idx="125">
                  <c:v>40.4328</c:v>
                </c:pt>
                <c:pt idx="126">
                  <c:v>40.849939999999997</c:v>
                </c:pt>
                <c:pt idx="127">
                  <c:v>40.067889999999998</c:v>
                </c:pt>
                <c:pt idx="128">
                  <c:v>40.372729999999997</c:v>
                </c:pt>
                <c:pt idx="129">
                  <c:v>40.184429999999999</c:v>
                </c:pt>
                <c:pt idx="130">
                  <c:v>40.053260000000002</c:v>
                </c:pt>
                <c:pt idx="131">
                  <c:v>39.105589999999999</c:v>
                </c:pt>
                <c:pt idx="132">
                  <c:v>39.611240000000002</c:v>
                </c:pt>
                <c:pt idx="133">
                  <c:v>39.566339999999997</c:v>
                </c:pt>
                <c:pt idx="134">
                  <c:v>39.722529999999999</c:v>
                </c:pt>
                <c:pt idx="135">
                  <c:v>39.519919999999999</c:v>
                </c:pt>
                <c:pt idx="136">
                  <c:v>39.80359</c:v>
                </c:pt>
                <c:pt idx="137">
                  <c:v>39.275080000000003</c:v>
                </c:pt>
                <c:pt idx="138">
                  <c:v>39.239460000000001</c:v>
                </c:pt>
                <c:pt idx="139">
                  <c:v>39.805259999999997</c:v>
                </c:pt>
                <c:pt idx="140">
                  <c:v>39.907350000000001</c:v>
                </c:pt>
                <c:pt idx="141">
                  <c:v>39.618070000000003</c:v>
                </c:pt>
                <c:pt idx="142">
                  <c:v>39.850990000000003</c:v>
                </c:pt>
                <c:pt idx="143">
                  <c:v>39.753579999999999</c:v>
                </c:pt>
                <c:pt idx="144">
                  <c:v>39.723739999999999</c:v>
                </c:pt>
                <c:pt idx="145">
                  <c:v>39.668259999999997</c:v>
                </c:pt>
                <c:pt idx="146">
                  <c:v>39.798430000000003</c:v>
                </c:pt>
                <c:pt idx="147">
                  <c:v>39.913760000000003</c:v>
                </c:pt>
                <c:pt idx="148">
                  <c:v>39.030610000000003</c:v>
                </c:pt>
                <c:pt idx="149">
                  <c:v>38.92651</c:v>
                </c:pt>
                <c:pt idx="150">
                  <c:v>38.819989999999997</c:v>
                </c:pt>
                <c:pt idx="151">
                  <c:v>38.591810000000002</c:v>
                </c:pt>
                <c:pt idx="152">
                  <c:v>38.675939999999997</c:v>
                </c:pt>
                <c:pt idx="153">
                  <c:v>39.377899999999997</c:v>
                </c:pt>
                <c:pt idx="154">
                  <c:v>39.284689999999998</c:v>
                </c:pt>
                <c:pt idx="155">
                  <c:v>38.912889999999997</c:v>
                </c:pt>
                <c:pt idx="156">
                  <c:v>38.724469999999997</c:v>
                </c:pt>
                <c:pt idx="157">
                  <c:v>38.68779</c:v>
                </c:pt>
                <c:pt idx="158">
                  <c:v>38.607990000000001</c:v>
                </c:pt>
                <c:pt idx="159">
                  <c:v>38.346440000000001</c:v>
                </c:pt>
                <c:pt idx="160">
                  <c:v>37.932259999999999</c:v>
                </c:pt>
                <c:pt idx="161">
                  <c:v>37.933660000000003</c:v>
                </c:pt>
                <c:pt idx="162">
                  <c:v>38.106050000000003</c:v>
                </c:pt>
                <c:pt idx="163">
                  <c:v>38.021279999999997</c:v>
                </c:pt>
                <c:pt idx="164">
                  <c:v>35.493980000000001</c:v>
                </c:pt>
                <c:pt idx="165">
                  <c:v>37.101759999999999</c:v>
                </c:pt>
                <c:pt idx="166">
                  <c:v>37.577289999999998</c:v>
                </c:pt>
                <c:pt idx="167">
                  <c:v>37.286079999999998</c:v>
                </c:pt>
                <c:pt idx="168">
                  <c:v>37.30368</c:v>
                </c:pt>
                <c:pt idx="169">
                  <c:v>37.058959999999999</c:v>
                </c:pt>
                <c:pt idx="170">
                  <c:v>37.08314</c:v>
                </c:pt>
                <c:pt idx="171">
                  <c:v>38.152459999999998</c:v>
                </c:pt>
                <c:pt idx="172">
                  <c:v>38.033160000000002</c:v>
                </c:pt>
                <c:pt idx="173">
                  <c:v>38.170789999999997</c:v>
                </c:pt>
                <c:pt idx="174">
                  <c:v>38.470939999999999</c:v>
                </c:pt>
                <c:pt idx="175">
                  <c:v>38.11815</c:v>
                </c:pt>
                <c:pt idx="176">
                  <c:v>38.115430000000003</c:v>
                </c:pt>
                <c:pt idx="177">
                  <c:v>38.298560000000002</c:v>
                </c:pt>
                <c:pt idx="178">
                  <c:v>38.203740000000003</c:v>
                </c:pt>
                <c:pt idx="179">
                  <c:v>38.146990000000002</c:v>
                </c:pt>
                <c:pt idx="180">
                  <c:v>37.967739999999999</c:v>
                </c:pt>
                <c:pt idx="181">
                  <c:v>37.924489999999999</c:v>
                </c:pt>
                <c:pt idx="182">
                  <c:v>38.240119999999997</c:v>
                </c:pt>
                <c:pt idx="183">
                  <c:v>38.221980000000002</c:v>
                </c:pt>
                <c:pt idx="184">
                  <c:v>38.216839999999998</c:v>
                </c:pt>
                <c:pt idx="185">
                  <c:v>38.11374</c:v>
                </c:pt>
                <c:pt idx="186">
                  <c:v>38.014270000000003</c:v>
                </c:pt>
                <c:pt idx="187">
                  <c:v>38.241950000000003</c:v>
                </c:pt>
                <c:pt idx="188">
                  <c:v>37.89284</c:v>
                </c:pt>
                <c:pt idx="189">
                  <c:v>38.042909999999999</c:v>
                </c:pt>
                <c:pt idx="190">
                  <c:v>38.098489999999998</c:v>
                </c:pt>
                <c:pt idx="191">
                  <c:v>38.0548</c:v>
                </c:pt>
                <c:pt idx="192">
                  <c:v>38.175840000000001</c:v>
                </c:pt>
                <c:pt idx="193">
                  <c:v>38.053159999999998</c:v>
                </c:pt>
                <c:pt idx="194">
                  <c:v>38.040819999999997</c:v>
                </c:pt>
                <c:pt idx="195">
                  <c:v>38.022100000000002</c:v>
                </c:pt>
                <c:pt idx="196">
                  <c:v>37.982329999999997</c:v>
                </c:pt>
                <c:pt idx="197">
                  <c:v>38.15399</c:v>
                </c:pt>
                <c:pt idx="198">
                  <c:v>37.994700000000002</c:v>
                </c:pt>
                <c:pt idx="199">
                  <c:v>38.014699999999998</c:v>
                </c:pt>
                <c:pt idx="200">
                  <c:v>37.996250000000003</c:v>
                </c:pt>
                <c:pt idx="201">
                  <c:v>38.071129999999997</c:v>
                </c:pt>
                <c:pt idx="202">
                  <c:v>38.129010000000001</c:v>
                </c:pt>
                <c:pt idx="203">
                  <c:v>38.091270000000002</c:v>
                </c:pt>
                <c:pt idx="204">
                  <c:v>36.726849999999999</c:v>
                </c:pt>
                <c:pt idx="205">
                  <c:v>36.767389999999999</c:v>
                </c:pt>
                <c:pt idx="206">
                  <c:v>36.892780000000002</c:v>
                </c:pt>
                <c:pt idx="207">
                  <c:v>36.719709999999999</c:v>
                </c:pt>
                <c:pt idx="208">
                  <c:v>36.723739999999999</c:v>
                </c:pt>
                <c:pt idx="209">
                  <c:v>37.145980000000002</c:v>
                </c:pt>
                <c:pt idx="210">
                  <c:v>37.581769999999999</c:v>
                </c:pt>
                <c:pt idx="211">
                  <c:v>37.654629999999997</c:v>
                </c:pt>
                <c:pt idx="212">
                  <c:v>36.828440000000001</c:v>
                </c:pt>
                <c:pt idx="213">
                  <c:v>37.720140000000001</c:v>
                </c:pt>
                <c:pt idx="214">
                  <c:v>38.174379999999999</c:v>
                </c:pt>
                <c:pt idx="215">
                  <c:v>39.11947</c:v>
                </c:pt>
                <c:pt idx="216">
                  <c:v>39.155079999999998</c:v>
                </c:pt>
                <c:pt idx="217">
                  <c:v>39.163699999999999</c:v>
                </c:pt>
                <c:pt idx="218">
                  <c:v>39.190899999999999</c:v>
                </c:pt>
                <c:pt idx="219">
                  <c:v>39.038919999999997</c:v>
                </c:pt>
                <c:pt idx="220">
                  <c:v>40.282260000000001</c:v>
                </c:pt>
                <c:pt idx="221">
                  <c:v>40.607819999999997</c:v>
                </c:pt>
                <c:pt idx="222">
                  <c:v>39.936140000000002</c:v>
                </c:pt>
                <c:pt idx="223">
                  <c:v>39.868189999999998</c:v>
                </c:pt>
                <c:pt idx="224">
                  <c:v>40.909849999999999</c:v>
                </c:pt>
                <c:pt idx="225">
                  <c:v>40.920479999999998</c:v>
                </c:pt>
                <c:pt idx="226">
                  <c:v>41.00723</c:v>
                </c:pt>
                <c:pt idx="227">
                  <c:v>41.216459999999998</c:v>
                </c:pt>
                <c:pt idx="228">
                  <c:v>40.926740000000002</c:v>
                </c:pt>
                <c:pt idx="229">
                  <c:v>40.835079999999998</c:v>
                </c:pt>
                <c:pt idx="230">
                  <c:v>41.24051</c:v>
                </c:pt>
                <c:pt idx="231">
                  <c:v>40.81615</c:v>
                </c:pt>
                <c:pt idx="232">
                  <c:v>41.017060000000001</c:v>
                </c:pt>
                <c:pt idx="233">
                  <c:v>40.929679999999998</c:v>
                </c:pt>
                <c:pt idx="234">
                  <c:v>41.13496</c:v>
                </c:pt>
                <c:pt idx="235">
                  <c:v>41.117060000000002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A23-5A4C-A8EE-B39A58290519}"/>
            </c:ext>
          </c:extLst>
        </c:ser>
        <c:ser>
          <c:idx val="1"/>
          <c:order val="1"/>
          <c:tx>
            <c:v>selezionati</c:v>
          </c:tx>
          <c:spPr>
            <a:ln w="25560">
              <a:noFill/>
            </a:ln>
          </c:spPr>
          <c:marker>
            <c:symbol val="circle"/>
            <c:size val="5"/>
            <c:spPr>
              <a:solidFill>
                <a:srgbClr val="C0504D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IT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'Table 1'!$M$2:$M$237</c:f>
              <c:numCache>
                <c:formatCode>General</c:formatCode>
                <c:ptCount val="236"/>
                <c:pt idx="0">
                  <c:v>0</c:v>
                </c:pt>
                <c:pt idx="1">
                  <c:v>12.381</c:v>
                </c:pt>
                <c:pt idx="2" formatCode="0.00000">
                  <c:v>12.555999999999999</c:v>
                </c:pt>
                <c:pt idx="3">
                  <c:v>0</c:v>
                </c:pt>
                <c:pt idx="4">
                  <c:v>0</c:v>
                </c:pt>
                <c:pt idx="5" formatCode="0.00000">
                  <c:v>13.6915</c:v>
                </c:pt>
                <c:pt idx="6" formatCode="0.00000">
                  <c:v>13.18995</c:v>
                </c:pt>
                <c:pt idx="7">
                  <c:v>13.507199999999999</c:v>
                </c:pt>
                <c:pt idx="8" formatCode="0.00000">
                  <c:v>13.5928</c:v>
                </c:pt>
                <c:pt idx="9" formatCode="0.00000">
                  <c:v>0</c:v>
                </c:pt>
                <c:pt idx="10" formatCode="0.00000">
                  <c:v>13.2415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 formatCode="0.00000">
                  <c:v>7.83805</c:v>
                </c:pt>
                <c:pt idx="16">
                  <c:v>0</c:v>
                </c:pt>
                <c:pt idx="17">
                  <c:v>0</c:v>
                </c:pt>
                <c:pt idx="18" formatCode="0.00000">
                  <c:v>8.4727499999999996</c:v>
                </c:pt>
                <c:pt idx="19" formatCode="0.00000">
                  <c:v>8.9263600000000007</c:v>
                </c:pt>
                <c:pt idx="20">
                  <c:v>0</c:v>
                </c:pt>
                <c:pt idx="21">
                  <c:v>0</c:v>
                </c:pt>
                <c:pt idx="22" formatCode="0.00000">
                  <c:v>8.0452200000000005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 formatCode="0.00000">
                  <c:v>8.2644500000000001</c:v>
                </c:pt>
                <c:pt idx="29">
                  <c:v>0</c:v>
                </c:pt>
                <c:pt idx="30">
                  <c:v>0</c:v>
                </c:pt>
                <c:pt idx="31">
                  <c:v>8.7561099999999996</c:v>
                </c:pt>
                <c:pt idx="32">
                  <c:v>9.2864000000000004</c:v>
                </c:pt>
                <c:pt idx="33">
                  <c:v>0</c:v>
                </c:pt>
                <c:pt idx="34">
                  <c:v>0</c:v>
                </c:pt>
                <c:pt idx="35" formatCode="0.00000">
                  <c:v>8.9510299999999994</c:v>
                </c:pt>
                <c:pt idx="36">
                  <c:v>0</c:v>
                </c:pt>
                <c:pt idx="37" formatCode="0.00000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 formatCode="0.00000">
                  <c:v>9.8614499999999996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 formatCode="0.00000">
                  <c:v>11.2746</c:v>
                </c:pt>
                <c:pt idx="57" formatCode="0.00000">
                  <c:v>13.691000000000001</c:v>
                </c:pt>
                <c:pt idx="58" formatCode="0.00000">
                  <c:v>12.611499999999999</c:v>
                </c:pt>
                <c:pt idx="59">
                  <c:v>12.55603</c:v>
                </c:pt>
                <c:pt idx="60" formatCode="0.00000">
                  <c:v>12.68538</c:v>
                </c:pt>
                <c:pt idx="61">
                  <c:v>0</c:v>
                </c:pt>
                <c:pt idx="62" formatCode="0.00000">
                  <c:v>12.056789999999999</c:v>
                </c:pt>
                <c:pt idx="63">
                  <c:v>0</c:v>
                </c:pt>
                <c:pt idx="64" formatCode="0.00000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 formatCode="0.0000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 formatCode="0.00000">
                  <c:v>14.300800000000001</c:v>
                </c:pt>
                <c:pt idx="77" formatCode="0.00000">
                  <c:v>14.067500000000001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 formatCode="0.00000">
                  <c:v>14.467499999999999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 formatCode="0.00000">
                  <c:v>17.109780000000001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 formatCode="0.00000">
                  <c:v>16.93207</c:v>
                </c:pt>
                <c:pt idx="114" formatCode="0.00000">
                  <c:v>16.81691</c:v>
                </c:pt>
                <c:pt idx="115" formatCode="0.00000">
                  <c:v>16.266829999999999</c:v>
                </c:pt>
                <c:pt idx="116">
                  <c:v>0</c:v>
                </c:pt>
                <c:pt idx="117" formatCode="0.00000">
                  <c:v>16.7075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 formatCode="0.00000">
                  <c:v>17.244599999999998</c:v>
                </c:pt>
                <c:pt idx="126">
                  <c:v>0</c:v>
                </c:pt>
                <c:pt idx="127">
                  <c:v>0</c:v>
                </c:pt>
                <c:pt idx="128" formatCode="0.00000">
                  <c:v>18.316079999999999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 formatCode="0.00000">
                  <c:v>15.78496</c:v>
                </c:pt>
                <c:pt idx="144" formatCode="0.00000">
                  <c:v>15.8187</c:v>
                </c:pt>
                <c:pt idx="145">
                  <c:v>0</c:v>
                </c:pt>
                <c:pt idx="146" formatCode="0.00000">
                  <c:v>15.77332</c:v>
                </c:pt>
                <c:pt idx="147">
                  <c:v>0</c:v>
                </c:pt>
                <c:pt idx="148" formatCode="0.00000">
                  <c:v>16.11655</c:v>
                </c:pt>
                <c:pt idx="149">
                  <c:v>0</c:v>
                </c:pt>
                <c:pt idx="150" formatCode="0.00000">
                  <c:v>16.604859999999999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 formatCode="0.00000">
                  <c:v>16.194040000000001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 formatCode="0.00000">
                  <c:v>15.17407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 formatCode="0.00000">
                  <c:v>15.5382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 formatCode="0.00000">
                  <c:v>15.42254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 formatCode="0.00000">
                  <c:v>13.494400000000001</c:v>
                </c:pt>
                <c:pt idx="191">
                  <c:v>0</c:v>
                </c:pt>
                <c:pt idx="192" formatCode="0.00000">
                  <c:v>13.223929999999999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 formatCode="0.00000">
                  <c:v>13.43896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 formatCode="0.00000">
                  <c:v>9.0410799999999991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 formatCode="0.00000">
                  <c:v>8.5607000000000006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 formatCode="0.00000">
                  <c:v>9.5243699999999993</c:v>
                </c:pt>
                <c:pt idx="229" formatCode="0.00000">
                  <c:v>8.3716600000000003</c:v>
                </c:pt>
                <c:pt idx="230" formatCode="0.00000">
                  <c:v>9.1960200000000007</c:v>
                </c:pt>
                <c:pt idx="231" formatCode="0.00000">
                  <c:v>8.5656400000000001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</c:numCache>
            </c:numRef>
          </c:xVal>
          <c:yVal>
            <c:numRef>
              <c:f>'Table 1'!$L$2:$L$237</c:f>
              <c:numCache>
                <c:formatCode>General</c:formatCode>
                <c:ptCount val="236"/>
                <c:pt idx="0">
                  <c:v>0</c:v>
                </c:pt>
                <c:pt idx="1">
                  <c:v>45.345999999999997</c:v>
                </c:pt>
                <c:pt idx="2" formatCode="0.00000">
                  <c:v>45.415999999999997</c:v>
                </c:pt>
                <c:pt idx="3">
                  <c:v>0</c:v>
                </c:pt>
                <c:pt idx="4">
                  <c:v>0</c:v>
                </c:pt>
                <c:pt idx="5" formatCode="0.00000">
                  <c:v>45.640099999999997</c:v>
                </c:pt>
                <c:pt idx="6" formatCode="0.00000">
                  <c:v>45.626620000000003</c:v>
                </c:pt>
                <c:pt idx="7">
                  <c:v>45.671100000000003</c:v>
                </c:pt>
                <c:pt idx="8" formatCode="0.00000">
                  <c:v>45.694099999999999</c:v>
                </c:pt>
                <c:pt idx="9" formatCode="0.00000">
                  <c:v>0</c:v>
                </c:pt>
                <c:pt idx="10" formatCode="0.00000">
                  <c:v>45.65372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 formatCode="0.00000">
                  <c:v>43.803820000000002</c:v>
                </c:pt>
                <c:pt idx="16">
                  <c:v>0</c:v>
                </c:pt>
                <c:pt idx="17">
                  <c:v>0</c:v>
                </c:pt>
                <c:pt idx="18" formatCode="0.00000">
                  <c:v>44.250950000000003</c:v>
                </c:pt>
                <c:pt idx="19" formatCode="0.00000">
                  <c:v>44.412399999999998</c:v>
                </c:pt>
                <c:pt idx="20">
                  <c:v>0</c:v>
                </c:pt>
                <c:pt idx="21">
                  <c:v>0</c:v>
                </c:pt>
                <c:pt idx="22" formatCode="0.00000">
                  <c:v>43.866120000000002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 formatCode="0.00000">
                  <c:v>44.108260000000001</c:v>
                </c:pt>
                <c:pt idx="29">
                  <c:v>0</c:v>
                </c:pt>
                <c:pt idx="30">
                  <c:v>0</c:v>
                </c:pt>
                <c:pt idx="31">
                  <c:v>44.418030000000002</c:v>
                </c:pt>
                <c:pt idx="32">
                  <c:v>44.31353</c:v>
                </c:pt>
                <c:pt idx="33">
                  <c:v>0</c:v>
                </c:pt>
                <c:pt idx="34">
                  <c:v>0</c:v>
                </c:pt>
                <c:pt idx="35" formatCode="0.00000">
                  <c:v>44.382629999999999</c:v>
                </c:pt>
                <c:pt idx="36">
                  <c:v>0</c:v>
                </c:pt>
                <c:pt idx="37" formatCode="0.00000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 formatCode="0.00000">
                  <c:v>44.111460000000001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 formatCode="0.00000">
                  <c:v>42.414999999999999</c:v>
                </c:pt>
                <c:pt idx="57" formatCode="0.00000">
                  <c:v>43.377099999999999</c:v>
                </c:pt>
                <c:pt idx="58" formatCode="0.00000">
                  <c:v>41.456780000000002</c:v>
                </c:pt>
                <c:pt idx="59">
                  <c:v>41.505600000000001</c:v>
                </c:pt>
                <c:pt idx="60" formatCode="0.00000">
                  <c:v>41.453589999999998</c:v>
                </c:pt>
                <c:pt idx="61">
                  <c:v>0</c:v>
                </c:pt>
                <c:pt idx="62" formatCode="0.00000">
                  <c:v>41.953180000000003</c:v>
                </c:pt>
                <c:pt idx="63">
                  <c:v>0</c:v>
                </c:pt>
                <c:pt idx="64" formatCode="0.00000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 formatCode="0.0000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 formatCode="0.00000">
                  <c:v>40.864899999999999</c:v>
                </c:pt>
                <c:pt idx="77" formatCode="0.00000">
                  <c:v>40.873899999999999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 formatCode="0.00000">
                  <c:v>40.7241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 formatCode="0.00000">
                  <c:v>41.055250000000001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 formatCode="0.00000">
                  <c:v>41.113190000000003</c:v>
                </c:pt>
                <c:pt idx="114" formatCode="0.00000">
                  <c:v>41.149340000000002</c:v>
                </c:pt>
                <c:pt idx="115" formatCode="0.00000">
                  <c:v>41.348410000000001</c:v>
                </c:pt>
                <c:pt idx="116">
                  <c:v>0</c:v>
                </c:pt>
                <c:pt idx="117" formatCode="0.00000">
                  <c:v>41.104100000000003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 formatCode="0.00000">
                  <c:v>40.4328</c:v>
                </c:pt>
                <c:pt idx="126">
                  <c:v>0</c:v>
                </c:pt>
                <c:pt idx="127">
                  <c:v>0</c:v>
                </c:pt>
                <c:pt idx="128" formatCode="0.00000">
                  <c:v>40.372729999999997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 formatCode="0.00000">
                  <c:v>39.753579999999999</c:v>
                </c:pt>
                <c:pt idx="144" formatCode="0.00000">
                  <c:v>39.723739999999999</c:v>
                </c:pt>
                <c:pt idx="145">
                  <c:v>0</c:v>
                </c:pt>
                <c:pt idx="146" formatCode="0.00000">
                  <c:v>39.798430000000003</c:v>
                </c:pt>
                <c:pt idx="147">
                  <c:v>0</c:v>
                </c:pt>
                <c:pt idx="148" formatCode="0.00000">
                  <c:v>39.030610000000003</c:v>
                </c:pt>
                <c:pt idx="149">
                  <c:v>0</c:v>
                </c:pt>
                <c:pt idx="150" formatCode="0.00000">
                  <c:v>38.819989999999997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 formatCode="0.00000">
                  <c:v>38.346440000000001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 formatCode="0.00000">
                  <c:v>38.152459999999998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 formatCode="0.00000">
                  <c:v>38.298560000000002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 formatCode="0.00000">
                  <c:v>38.240119999999997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 formatCode="0.00000">
                  <c:v>38.098489999999998</c:v>
                </c:pt>
                <c:pt idx="191">
                  <c:v>0</c:v>
                </c:pt>
                <c:pt idx="192" formatCode="0.00000">
                  <c:v>38.175840000000001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 formatCode="0.00000">
                  <c:v>38.091270000000002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 formatCode="0.00000">
                  <c:v>39.163699999999999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 formatCode="0.00000">
                  <c:v>39.868189999999998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 formatCode="0.00000">
                  <c:v>40.926740000000002</c:v>
                </c:pt>
                <c:pt idx="229" formatCode="0.00000">
                  <c:v>40.835079999999998</c:v>
                </c:pt>
                <c:pt idx="230" formatCode="0.00000">
                  <c:v>41.24051</c:v>
                </c:pt>
                <c:pt idx="231" formatCode="0.00000">
                  <c:v>40.81615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A23-5A4C-A8EE-B39A582905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412454"/>
        <c:axId val="50280043"/>
      </c:scatterChart>
      <c:valAx>
        <c:axId val="57412454"/>
        <c:scaling>
          <c:orientation val="minMax"/>
          <c:max val="19"/>
          <c:min val="7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IT"/>
          </a:p>
        </c:txPr>
        <c:crossAx val="50280043"/>
        <c:crosses val="autoZero"/>
        <c:crossBetween val="midCat"/>
      </c:valAx>
      <c:valAx>
        <c:axId val="50280043"/>
        <c:scaling>
          <c:orientation val="minMax"/>
          <c:max val="46"/>
          <c:min val="34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IT"/>
          </a:p>
        </c:txPr>
        <c:crossAx val="57412454"/>
        <c:crosses val="autoZero"/>
        <c:crossBetween val="midCat"/>
      </c:valAx>
      <c:spPr>
        <a:noFill/>
        <a:ln w="0">
          <a:noFill/>
        </a:ln>
      </c:spPr>
    </c:plotArea>
    <c:legend>
      <c:legendPos val="r"/>
      <c:layout>
        <c:manualLayout>
          <c:xMode val="edge"/>
          <c:yMode val="edge"/>
          <c:x val="0.75857699037620296"/>
          <c:y val="6.5185546434565506E-2"/>
          <c:w val="0.15253412073490799"/>
          <c:h val="0.12883827744981399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IT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1389600</xdr:colOff>
      <xdr:row>0</xdr:row>
      <xdr:rowOff>360</xdr:rowOff>
    </xdr:to>
    <xdr:sp macro="" textlink="">
      <xdr:nvSpPr>
        <xdr:cNvPr id="2" name="Shap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0" y="0"/>
          <a:ext cx="3472560" cy="360"/>
        </a:xfrm>
        <a:custGeom>
          <a:avLst/>
          <a:gdLst>
            <a:gd name="textAreaLeft" fmla="*/ 0 w 3472560"/>
            <a:gd name="textAreaRight" fmla="*/ 3472920 w 3472560"/>
            <a:gd name="textAreaTop" fmla="*/ 0 h 360"/>
            <a:gd name="textAreaBottom" fmla="*/ 720 h 360"/>
          </a:gdLst>
          <a:ahLst/>
          <a:cxnLst/>
          <a:rect l="textAreaLeft" t="textAreaTop" r="textAreaRight" b="textAreaBottom"/>
          <a:pathLst>
            <a:path w="3030220">
              <a:moveTo>
                <a:pt x="0" y="0"/>
              </a:moveTo>
              <a:lnTo>
                <a:pt x="3029748" y="0"/>
              </a:lnTo>
            </a:path>
          </a:pathLst>
        </a:custGeom>
        <a:noFill/>
        <a:ln w="9378">
          <a:solidFill>
            <a:srgbClr val="000000"/>
          </a:solidFill>
          <a:prstDash val="dash"/>
          <a:round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13</xdr:col>
      <xdr:colOff>459272</xdr:colOff>
      <xdr:row>9</xdr:row>
      <xdr:rowOff>96479</xdr:rowOff>
    </xdr:from>
    <xdr:to>
      <xdr:col>21</xdr:col>
      <xdr:colOff>428671</xdr:colOff>
      <xdr:row>36</xdr:row>
      <xdr:rowOff>7460</xdr:rowOff>
    </xdr:to>
    <xdr:graphicFrame macro="">
      <xdr:nvGraphicFramePr>
        <xdr:cNvPr id="3" name="Chart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238"/>
  <sheetViews>
    <sheetView tabSelected="1" zoomScale="170" zoomScaleNormal="170" workbookViewId="0">
      <selection activeCell="I10" sqref="I10"/>
    </sheetView>
  </sheetViews>
  <sheetFormatPr baseColWidth="10" defaultColWidth="9" defaultRowHeight="13" x14ac:dyDescent="0.15"/>
  <cols>
    <col min="1" max="1" width="10.796875" style="1" customWidth="1"/>
    <col min="2" max="2" width="22" style="1" customWidth="1"/>
    <col min="3" max="3" width="24.19921875" style="1" customWidth="1"/>
    <col min="4" max="4" width="9.3984375" style="1" customWidth="1"/>
    <col min="5" max="5" width="11.19921875" style="2" customWidth="1"/>
    <col min="6" max="6" width="16.19921875" style="1" customWidth="1"/>
    <col min="7" max="7" width="29.3984375" style="1" customWidth="1"/>
    <col min="8" max="8" width="12.59765625" style="1" customWidth="1"/>
    <col min="9" max="9" width="19.796875" style="3" customWidth="1"/>
    <col min="10" max="10" width="9" style="3"/>
    <col min="12" max="13" width="9" style="1"/>
  </cols>
  <sheetData>
    <row r="1" spans="1:15" ht="12.75" customHeight="1" x14ac:dyDescent="0.15">
      <c r="A1" s="4" t="s">
        <v>0</v>
      </c>
      <c r="B1" s="5" t="s">
        <v>1</v>
      </c>
      <c r="C1" s="6" t="s">
        <v>2</v>
      </c>
      <c r="D1" s="7" t="s">
        <v>3</v>
      </c>
      <c r="E1" s="7" t="s">
        <v>4</v>
      </c>
      <c r="F1" s="8" t="s">
        <v>5</v>
      </c>
      <c r="G1" s="9" t="s">
        <v>6</v>
      </c>
      <c r="H1" s="4" t="s">
        <v>7</v>
      </c>
      <c r="I1" s="3" t="s">
        <v>8</v>
      </c>
      <c r="J1" s="3" t="s">
        <v>9</v>
      </c>
      <c r="K1" s="10" t="s">
        <v>10</v>
      </c>
      <c r="N1" s="10" t="s">
        <v>11</v>
      </c>
    </row>
    <row r="2" spans="1:15" ht="12" customHeight="1" x14ac:dyDescent="0.15">
      <c r="A2" s="11" t="s">
        <v>12</v>
      </c>
      <c r="B2" s="12" t="s">
        <v>13</v>
      </c>
      <c r="C2" s="12" t="s">
        <v>14</v>
      </c>
      <c r="D2" s="13">
        <v>45.429000000000002</v>
      </c>
      <c r="E2" s="13">
        <v>12.259</v>
      </c>
      <c r="F2" s="12" t="s">
        <v>15</v>
      </c>
      <c r="G2" s="12" t="s">
        <v>16</v>
      </c>
      <c r="H2" s="14">
        <v>355330</v>
      </c>
      <c r="K2" s="10" t="s">
        <v>17</v>
      </c>
      <c r="L2" s="1" t="b">
        <f t="shared" ref="L2:L65" si="0">IF(I2&gt;0,D2)</f>
        <v>0</v>
      </c>
      <c r="M2" s="1" t="b">
        <f t="shared" ref="M2:M65" si="1">IF(I2&gt;0,E2)</f>
        <v>0</v>
      </c>
      <c r="N2">
        <v>1</v>
      </c>
      <c r="O2">
        <f t="shared" ref="O2:O8" si="2">COUNTIF(I:I,N2)</f>
        <v>8</v>
      </c>
    </row>
    <row r="3" spans="1:15" ht="9.75" customHeight="1" x14ac:dyDescent="0.15">
      <c r="A3" s="11" t="s">
        <v>12</v>
      </c>
      <c r="B3" s="12" t="s">
        <v>18</v>
      </c>
      <c r="C3" s="12" t="s">
        <v>19</v>
      </c>
      <c r="D3" s="13">
        <v>45.345999999999997</v>
      </c>
      <c r="E3" s="13">
        <v>12.381</v>
      </c>
      <c r="F3" s="12" t="s">
        <v>20</v>
      </c>
      <c r="G3" s="12" t="s">
        <v>21</v>
      </c>
      <c r="H3" s="14">
        <v>23725</v>
      </c>
      <c r="I3" s="3">
        <v>1</v>
      </c>
      <c r="L3" s="1">
        <f t="shared" si="0"/>
        <v>45.345999999999997</v>
      </c>
      <c r="M3" s="1">
        <f t="shared" si="1"/>
        <v>12.381</v>
      </c>
      <c r="N3">
        <v>2</v>
      </c>
      <c r="O3">
        <f t="shared" si="2"/>
        <v>7</v>
      </c>
    </row>
    <row r="4" spans="1:15" ht="9.75" customHeight="1" x14ac:dyDescent="0.15">
      <c r="A4" s="11" t="s">
        <v>12</v>
      </c>
      <c r="B4" s="12" t="s">
        <v>22</v>
      </c>
      <c r="C4" s="12" t="s">
        <v>23</v>
      </c>
      <c r="D4" s="13">
        <v>45.415999999999997</v>
      </c>
      <c r="E4" s="13">
        <v>12.555999999999999</v>
      </c>
      <c r="F4" s="12" t="s">
        <v>24</v>
      </c>
      <c r="G4" s="12" t="s">
        <v>25</v>
      </c>
      <c r="H4" s="14">
        <v>78507</v>
      </c>
      <c r="I4" s="3">
        <v>1</v>
      </c>
      <c r="L4" s="15">
        <f t="shared" si="0"/>
        <v>45.415999999999997</v>
      </c>
      <c r="M4" s="15">
        <f t="shared" si="1"/>
        <v>12.555999999999999</v>
      </c>
      <c r="N4">
        <v>3</v>
      </c>
      <c r="O4">
        <f t="shared" si="2"/>
        <v>6</v>
      </c>
    </row>
    <row r="5" spans="1:15" ht="9.75" customHeight="1" x14ac:dyDescent="0.15">
      <c r="A5" s="11" t="s">
        <v>12</v>
      </c>
      <c r="B5" s="12" t="s">
        <v>26</v>
      </c>
      <c r="C5" s="12" t="s">
        <v>27</v>
      </c>
      <c r="D5" s="13">
        <v>45.09</v>
      </c>
      <c r="E5" s="13">
        <v>12.334</v>
      </c>
      <c r="F5" s="12" t="s">
        <v>28</v>
      </c>
      <c r="G5" s="12" t="s">
        <v>29</v>
      </c>
      <c r="H5" s="14">
        <v>9481</v>
      </c>
      <c r="L5" s="1" t="b">
        <f t="shared" si="0"/>
        <v>0</v>
      </c>
      <c r="M5" s="1" t="b">
        <f t="shared" si="1"/>
        <v>0</v>
      </c>
      <c r="N5">
        <v>4</v>
      </c>
      <c r="O5">
        <f t="shared" si="2"/>
        <v>6</v>
      </c>
    </row>
    <row r="6" spans="1:15" ht="9.75" customHeight="1" x14ac:dyDescent="0.15">
      <c r="A6" s="16" t="s">
        <v>30</v>
      </c>
      <c r="B6" s="12" t="s">
        <v>31</v>
      </c>
      <c r="C6" s="12" t="s">
        <v>32</v>
      </c>
      <c r="D6" s="13">
        <v>45.753500000000003</v>
      </c>
      <c r="E6" s="13">
        <v>13.6228</v>
      </c>
      <c r="F6" s="12" t="s">
        <v>31</v>
      </c>
      <c r="G6" s="12" t="s">
        <v>33</v>
      </c>
      <c r="H6" s="14">
        <v>7065</v>
      </c>
      <c r="L6" s="1" t="b">
        <f t="shared" si="0"/>
        <v>0</v>
      </c>
      <c r="M6" s="1" t="b">
        <f t="shared" si="1"/>
        <v>0</v>
      </c>
      <c r="N6">
        <v>5</v>
      </c>
      <c r="O6">
        <f t="shared" si="2"/>
        <v>8</v>
      </c>
    </row>
    <row r="7" spans="1:15" ht="9.75" customHeight="1" x14ac:dyDescent="0.15">
      <c r="A7" s="16" t="s">
        <v>30</v>
      </c>
      <c r="B7" s="12" t="s">
        <v>34</v>
      </c>
      <c r="C7" s="12" t="s">
        <v>35</v>
      </c>
      <c r="D7" s="13">
        <v>45.640099999999997</v>
      </c>
      <c r="E7" s="13">
        <v>13.6915</v>
      </c>
      <c r="F7" s="12" t="s">
        <v>34</v>
      </c>
      <c r="G7" s="12" t="s">
        <v>36</v>
      </c>
      <c r="H7" s="14">
        <v>172276</v>
      </c>
      <c r="I7" s="3">
        <v>1</v>
      </c>
      <c r="J7" s="3">
        <v>8</v>
      </c>
      <c r="L7" s="15">
        <f t="shared" si="0"/>
        <v>45.640099999999997</v>
      </c>
      <c r="M7" s="15">
        <f t="shared" si="1"/>
        <v>13.6915</v>
      </c>
      <c r="N7">
        <v>6</v>
      </c>
      <c r="O7">
        <f t="shared" si="2"/>
        <v>9</v>
      </c>
    </row>
    <row r="8" spans="1:15" ht="9.75" customHeight="1" x14ac:dyDescent="0.15">
      <c r="A8" s="16" t="s">
        <v>30</v>
      </c>
      <c r="B8" s="12" t="s">
        <v>37</v>
      </c>
      <c r="C8" s="12" t="s">
        <v>38</v>
      </c>
      <c r="D8" s="13">
        <v>45.626620000000003</v>
      </c>
      <c r="E8" s="13">
        <v>13.18995</v>
      </c>
      <c r="F8" s="12" t="s">
        <v>37</v>
      </c>
      <c r="G8" s="12" t="s">
        <v>39</v>
      </c>
      <c r="H8" s="14">
        <v>82428</v>
      </c>
      <c r="I8" s="3">
        <v>1</v>
      </c>
      <c r="L8" s="15">
        <f t="shared" si="0"/>
        <v>45.626620000000003</v>
      </c>
      <c r="M8" s="15">
        <f t="shared" si="1"/>
        <v>13.18995</v>
      </c>
      <c r="N8">
        <v>7</v>
      </c>
      <c r="O8">
        <f t="shared" si="2"/>
        <v>6</v>
      </c>
    </row>
    <row r="9" spans="1:15" ht="9.75" customHeight="1" x14ac:dyDescent="0.15">
      <c r="A9" s="16" t="s">
        <v>30</v>
      </c>
      <c r="B9" s="12" t="s">
        <v>40</v>
      </c>
      <c r="C9" s="12" t="s">
        <v>41</v>
      </c>
      <c r="D9" s="13">
        <v>45.671100000000003</v>
      </c>
      <c r="E9" s="13">
        <v>13.507199999999999</v>
      </c>
      <c r="F9" s="12" t="s">
        <v>40</v>
      </c>
      <c r="G9" s="12" t="s">
        <v>42</v>
      </c>
      <c r="H9" s="14">
        <v>19158</v>
      </c>
      <c r="I9" s="3">
        <v>1</v>
      </c>
      <c r="L9" s="1">
        <f t="shared" si="0"/>
        <v>45.671100000000003</v>
      </c>
      <c r="M9" s="1">
        <f t="shared" si="1"/>
        <v>13.507199999999999</v>
      </c>
      <c r="O9">
        <f>SUM(O2:O8)</f>
        <v>50</v>
      </c>
    </row>
    <row r="10" spans="1:15" ht="9.75" customHeight="1" x14ac:dyDescent="0.15">
      <c r="A10" s="16" t="s">
        <v>30</v>
      </c>
      <c r="B10" s="12" t="s">
        <v>43</v>
      </c>
      <c r="C10" s="12" t="s">
        <v>44</v>
      </c>
      <c r="D10" s="13">
        <v>45.694099999999999</v>
      </c>
      <c r="E10" s="13">
        <v>13.5928</v>
      </c>
      <c r="F10" s="12" t="s">
        <v>43</v>
      </c>
      <c r="G10" s="12" t="s">
        <v>45</v>
      </c>
      <c r="H10" s="14">
        <v>48576</v>
      </c>
      <c r="I10" s="3">
        <v>1</v>
      </c>
      <c r="J10" s="3">
        <v>8</v>
      </c>
      <c r="L10" s="15">
        <f t="shared" si="0"/>
        <v>45.694099999999999</v>
      </c>
      <c r="M10" s="15">
        <f t="shared" si="1"/>
        <v>13.5928</v>
      </c>
    </row>
    <row r="11" spans="1:15" ht="9.75" customHeight="1" x14ac:dyDescent="0.15">
      <c r="A11" s="16" t="s">
        <v>30</v>
      </c>
      <c r="B11" s="12" t="s">
        <v>46</v>
      </c>
      <c r="C11" s="12" t="s">
        <v>47</v>
      </c>
      <c r="D11" s="13">
        <v>45.640099999999997</v>
      </c>
      <c r="E11" s="13">
        <v>13.6915</v>
      </c>
      <c r="F11" s="12" t="s">
        <v>46</v>
      </c>
      <c r="G11" s="12" t="s">
        <v>48</v>
      </c>
      <c r="H11" s="14">
        <v>62290</v>
      </c>
      <c r="L11" s="15" t="b">
        <f t="shared" si="0"/>
        <v>0</v>
      </c>
      <c r="M11" s="15" t="b">
        <f t="shared" si="1"/>
        <v>0</v>
      </c>
    </row>
    <row r="12" spans="1:15" ht="9.75" customHeight="1" x14ac:dyDescent="0.15">
      <c r="A12" s="16" t="s">
        <v>30</v>
      </c>
      <c r="B12" s="12" t="s">
        <v>49</v>
      </c>
      <c r="C12" s="12" t="s">
        <v>50</v>
      </c>
      <c r="D12" s="13">
        <v>45.65372</v>
      </c>
      <c r="E12" s="13">
        <v>13.2415</v>
      </c>
      <c r="F12" s="12" t="s">
        <v>49</v>
      </c>
      <c r="G12" s="12" t="s">
        <v>51</v>
      </c>
      <c r="H12" s="14">
        <v>108231</v>
      </c>
      <c r="I12" s="3">
        <v>1</v>
      </c>
      <c r="L12" s="15">
        <f t="shared" si="0"/>
        <v>45.65372</v>
      </c>
      <c r="M12" s="15">
        <f t="shared" si="1"/>
        <v>13.2415</v>
      </c>
    </row>
    <row r="13" spans="1:15" ht="9.75" customHeight="1" x14ac:dyDescent="0.15">
      <c r="A13" s="16" t="s">
        <v>52</v>
      </c>
      <c r="B13" s="12" t="s">
        <v>53</v>
      </c>
      <c r="C13" s="12" t="s">
        <v>54</v>
      </c>
      <c r="D13" s="13">
        <v>44.014560000000003</v>
      </c>
      <c r="E13" s="13">
        <v>8.20472</v>
      </c>
      <c r="F13" s="12" t="s">
        <v>55</v>
      </c>
      <c r="G13" s="12" t="s">
        <v>54</v>
      </c>
      <c r="H13" s="14">
        <v>38373</v>
      </c>
      <c r="L13" s="1" t="b">
        <f t="shared" si="0"/>
        <v>0</v>
      </c>
      <c r="M13" s="1" t="b">
        <f t="shared" si="1"/>
        <v>0</v>
      </c>
    </row>
    <row r="14" spans="1:15" ht="9.75" customHeight="1" x14ac:dyDescent="0.15">
      <c r="A14" s="16" t="s">
        <v>52</v>
      </c>
      <c r="B14" s="12" t="s">
        <v>56</v>
      </c>
      <c r="C14" s="12" t="s">
        <v>57</v>
      </c>
      <c r="D14" s="13">
        <v>44.3902</v>
      </c>
      <c r="E14" s="13">
        <v>8.69895</v>
      </c>
      <c r="F14" s="12" t="s">
        <v>58</v>
      </c>
      <c r="G14" s="12" t="s">
        <v>57</v>
      </c>
      <c r="H14" s="14">
        <v>15000</v>
      </c>
      <c r="L14" s="1" t="b">
        <f t="shared" si="0"/>
        <v>0</v>
      </c>
      <c r="M14" s="1" t="b">
        <f t="shared" si="1"/>
        <v>0</v>
      </c>
    </row>
    <row r="15" spans="1:15" ht="9.75" customHeight="1" x14ac:dyDescent="0.15">
      <c r="A15" s="16" t="s">
        <v>52</v>
      </c>
      <c r="B15" s="12" t="s">
        <v>59</v>
      </c>
      <c r="C15" s="12" t="s">
        <v>60</v>
      </c>
      <c r="D15" s="13">
        <v>44.3703</v>
      </c>
      <c r="E15" s="13">
        <v>8.6464800000000004</v>
      </c>
      <c r="F15" s="12" t="s">
        <v>61</v>
      </c>
      <c r="G15" s="12" t="s">
        <v>60</v>
      </c>
      <c r="H15" s="14">
        <v>6000</v>
      </c>
      <c r="L15" s="1" t="b">
        <f t="shared" si="0"/>
        <v>0</v>
      </c>
      <c r="M15" s="1" t="b">
        <f t="shared" si="1"/>
        <v>0</v>
      </c>
    </row>
    <row r="16" spans="1:15" ht="9.75" customHeight="1" x14ac:dyDescent="0.15">
      <c r="A16" s="16" t="s">
        <v>52</v>
      </c>
      <c r="B16" s="12" t="s">
        <v>62</v>
      </c>
      <c r="C16" s="12" t="s">
        <v>63</v>
      </c>
      <c r="D16" s="13">
        <v>43.767220000000002</v>
      </c>
      <c r="E16" s="13">
        <v>7.6546599999999998</v>
      </c>
      <c r="F16" s="12" t="s">
        <v>64</v>
      </c>
      <c r="G16" s="12" t="s">
        <v>63</v>
      </c>
      <c r="H16" s="14">
        <v>15000</v>
      </c>
      <c r="L16" s="1" t="b">
        <f t="shared" si="0"/>
        <v>0</v>
      </c>
      <c r="M16" s="1" t="b">
        <f t="shared" si="1"/>
        <v>0</v>
      </c>
    </row>
    <row r="17" spans="1:13" ht="9.75" customHeight="1" x14ac:dyDescent="0.15">
      <c r="A17" s="16" t="s">
        <v>52</v>
      </c>
      <c r="B17" s="12" t="s">
        <v>65</v>
      </c>
      <c r="C17" s="12" t="s">
        <v>66</v>
      </c>
      <c r="D17" s="13">
        <v>43.803820000000002</v>
      </c>
      <c r="E17" s="13">
        <v>7.83805</v>
      </c>
      <c r="F17" s="12" t="s">
        <v>67</v>
      </c>
      <c r="G17" s="12" t="s">
        <v>66</v>
      </c>
      <c r="H17" s="14">
        <v>74000</v>
      </c>
      <c r="I17" s="3">
        <v>6</v>
      </c>
      <c r="L17" s="15">
        <f t="shared" si="0"/>
        <v>43.803820000000002</v>
      </c>
      <c r="M17" s="15">
        <f t="shared" si="1"/>
        <v>7.83805</v>
      </c>
    </row>
    <row r="18" spans="1:13" ht="9.75" customHeight="1" x14ac:dyDescent="0.15">
      <c r="A18" s="16" t="s">
        <v>52</v>
      </c>
      <c r="B18" s="12" t="s">
        <v>68</v>
      </c>
      <c r="C18" s="12" t="s">
        <v>69</v>
      </c>
      <c r="D18" s="13">
        <v>44.212580000000003</v>
      </c>
      <c r="E18" s="13">
        <v>9.4988100000000006</v>
      </c>
      <c r="F18" s="12" t="s">
        <v>70</v>
      </c>
      <c r="G18" s="12" t="s">
        <v>69</v>
      </c>
      <c r="H18" s="14">
        <v>9356</v>
      </c>
      <c r="L18" s="1" t="b">
        <f t="shared" si="0"/>
        <v>0</v>
      </c>
      <c r="M18" s="1" t="b">
        <f t="shared" si="1"/>
        <v>0</v>
      </c>
    </row>
    <row r="19" spans="1:13" ht="9.75" customHeight="1" x14ac:dyDescent="0.15">
      <c r="A19" s="16" t="s">
        <v>52</v>
      </c>
      <c r="B19" s="12" t="s">
        <v>55</v>
      </c>
      <c r="C19" s="12" t="s">
        <v>71</v>
      </c>
      <c r="D19" s="13">
        <v>43.837420000000002</v>
      </c>
      <c r="E19" s="13">
        <v>7.9558</v>
      </c>
      <c r="F19" s="12" t="s">
        <v>72</v>
      </c>
      <c r="G19" s="12" t="s">
        <v>71</v>
      </c>
      <c r="H19" s="14">
        <v>13000</v>
      </c>
      <c r="L19" s="1" t="b">
        <f t="shared" si="0"/>
        <v>0</v>
      </c>
      <c r="M19" s="1" t="b">
        <f t="shared" si="1"/>
        <v>0</v>
      </c>
    </row>
    <row r="20" spans="1:13" ht="9.75" customHeight="1" x14ac:dyDescent="0.15">
      <c r="A20" s="16" t="s">
        <v>52</v>
      </c>
      <c r="B20" s="12" t="s">
        <v>73</v>
      </c>
      <c r="C20" s="12" t="s">
        <v>74</v>
      </c>
      <c r="D20" s="13">
        <v>44.250950000000003</v>
      </c>
      <c r="E20" s="13">
        <v>8.4727499999999996</v>
      </c>
      <c r="F20" s="12" t="s">
        <v>75</v>
      </c>
      <c r="G20" s="12" t="s">
        <v>74</v>
      </c>
      <c r="H20" s="14">
        <v>264551</v>
      </c>
      <c r="I20" s="3">
        <v>6</v>
      </c>
      <c r="L20" s="15">
        <f t="shared" si="0"/>
        <v>44.250950000000003</v>
      </c>
      <c r="M20" s="15">
        <f t="shared" si="1"/>
        <v>8.4727499999999996</v>
      </c>
    </row>
    <row r="21" spans="1:13" ht="9.75" customHeight="1" x14ac:dyDescent="0.15">
      <c r="A21" s="16" t="s">
        <v>52</v>
      </c>
      <c r="B21" s="12" t="s">
        <v>76</v>
      </c>
      <c r="C21" s="12" t="s">
        <v>77</v>
      </c>
      <c r="D21" s="13">
        <v>44.412399999999998</v>
      </c>
      <c r="E21" s="13">
        <v>8.9263600000000007</v>
      </c>
      <c r="F21" s="12" t="s">
        <v>78</v>
      </c>
      <c r="G21" s="12" t="s">
        <v>77</v>
      </c>
      <c r="H21" s="14">
        <v>118276</v>
      </c>
      <c r="I21" s="3">
        <v>6</v>
      </c>
      <c r="L21" s="15">
        <f t="shared" si="0"/>
        <v>44.412399999999998</v>
      </c>
      <c r="M21" s="15">
        <f t="shared" si="1"/>
        <v>8.9263600000000007</v>
      </c>
    </row>
    <row r="22" spans="1:13" ht="9.75" customHeight="1" x14ac:dyDescent="0.15">
      <c r="A22" s="16" t="s">
        <v>52</v>
      </c>
      <c r="B22" s="12" t="s">
        <v>79</v>
      </c>
      <c r="C22" s="12" t="s">
        <v>80</v>
      </c>
      <c r="D22" s="13">
        <v>44.079810000000002</v>
      </c>
      <c r="E22" s="13">
        <v>9.9617799999999992</v>
      </c>
      <c r="F22" s="12" t="s">
        <v>81</v>
      </c>
      <c r="G22" s="12" t="s">
        <v>80</v>
      </c>
      <c r="H22" s="14">
        <v>27608</v>
      </c>
      <c r="L22" s="1" t="b">
        <f t="shared" si="0"/>
        <v>0</v>
      </c>
      <c r="M22" s="1" t="b">
        <f t="shared" si="1"/>
        <v>0</v>
      </c>
    </row>
    <row r="23" spans="1:13" ht="9.75" customHeight="1" x14ac:dyDescent="0.15">
      <c r="A23" s="16" t="s">
        <v>52</v>
      </c>
      <c r="B23" s="12" t="s">
        <v>82</v>
      </c>
      <c r="C23" s="12" t="s">
        <v>83</v>
      </c>
      <c r="D23" s="13">
        <v>44.057409999999997</v>
      </c>
      <c r="E23" s="13">
        <v>10.025510000000001</v>
      </c>
      <c r="F23" s="12" t="s">
        <v>79</v>
      </c>
      <c r="G23" s="12" t="s">
        <v>83</v>
      </c>
      <c r="H23" s="14">
        <v>6450</v>
      </c>
      <c r="L23" s="1" t="b">
        <f t="shared" si="0"/>
        <v>0</v>
      </c>
      <c r="M23" s="1" t="b">
        <f t="shared" si="1"/>
        <v>0</v>
      </c>
    </row>
    <row r="24" spans="1:13" ht="9.75" customHeight="1" x14ac:dyDescent="0.15">
      <c r="A24" s="16" t="s">
        <v>52</v>
      </c>
      <c r="B24" s="12" t="s">
        <v>84</v>
      </c>
      <c r="C24" s="12" t="s">
        <v>85</v>
      </c>
      <c r="D24" s="13">
        <v>43.866120000000002</v>
      </c>
      <c r="E24" s="13">
        <v>8.0452200000000005</v>
      </c>
      <c r="F24" s="12" t="s">
        <v>65</v>
      </c>
      <c r="G24" s="12" t="s">
        <v>85</v>
      </c>
      <c r="H24" s="14">
        <v>103314</v>
      </c>
      <c r="I24" s="3">
        <v>6</v>
      </c>
      <c r="L24" s="15">
        <f t="shared" si="0"/>
        <v>43.866120000000002</v>
      </c>
      <c r="M24" s="15">
        <f t="shared" si="1"/>
        <v>8.0452200000000005</v>
      </c>
    </row>
    <row r="25" spans="1:13" ht="9.75" customHeight="1" x14ac:dyDescent="0.15">
      <c r="A25" s="16" t="s">
        <v>52</v>
      </c>
      <c r="B25" s="12" t="s">
        <v>86</v>
      </c>
      <c r="C25" s="12" t="s">
        <v>87</v>
      </c>
      <c r="D25" s="13">
        <v>44.295990000000003</v>
      </c>
      <c r="E25" s="13">
        <v>9.3270800000000005</v>
      </c>
      <c r="F25" s="12" t="s">
        <v>56</v>
      </c>
      <c r="G25" s="12" t="s">
        <v>87</v>
      </c>
      <c r="H25" s="14">
        <v>18000</v>
      </c>
      <c r="L25" s="1" t="b">
        <f t="shared" si="0"/>
        <v>0</v>
      </c>
      <c r="M25" s="1" t="b">
        <f t="shared" si="1"/>
        <v>0</v>
      </c>
    </row>
    <row r="26" spans="1:13" ht="9.75" customHeight="1" x14ac:dyDescent="0.15">
      <c r="A26" s="16" t="s">
        <v>52</v>
      </c>
      <c r="B26" s="12" t="s">
        <v>88</v>
      </c>
      <c r="C26" s="12" t="s">
        <v>89</v>
      </c>
      <c r="D26" s="13">
        <v>44.376800000000003</v>
      </c>
      <c r="E26" s="13">
        <v>8.6657499999999992</v>
      </c>
      <c r="F26" s="12" t="s">
        <v>90</v>
      </c>
      <c r="G26" s="12" t="s">
        <v>89</v>
      </c>
      <c r="H26" s="14">
        <v>3000</v>
      </c>
      <c r="L26" s="1" t="b">
        <f t="shared" si="0"/>
        <v>0</v>
      </c>
      <c r="M26" s="1" t="b">
        <f t="shared" si="1"/>
        <v>0</v>
      </c>
    </row>
    <row r="27" spans="1:13" ht="9.75" customHeight="1" x14ac:dyDescent="0.15">
      <c r="A27" s="16" t="s">
        <v>52</v>
      </c>
      <c r="B27" s="12" t="s">
        <v>78</v>
      </c>
      <c r="C27" s="12" t="s">
        <v>91</v>
      </c>
      <c r="D27" s="13">
        <v>43.96031</v>
      </c>
      <c r="E27" s="13">
        <v>8.1780600000000003</v>
      </c>
      <c r="F27" s="12" t="s">
        <v>92</v>
      </c>
      <c r="G27" s="12" t="s">
        <v>91</v>
      </c>
      <c r="H27" s="14">
        <v>7170</v>
      </c>
      <c r="L27" s="1" t="b">
        <f t="shared" si="0"/>
        <v>0</v>
      </c>
      <c r="M27" s="1" t="b">
        <f t="shared" si="1"/>
        <v>0</v>
      </c>
    </row>
    <row r="28" spans="1:13" ht="9.75" customHeight="1" x14ac:dyDescent="0.15">
      <c r="A28" s="16" t="s">
        <v>52</v>
      </c>
      <c r="B28" s="12" t="s">
        <v>93</v>
      </c>
      <c r="C28" s="12" t="s">
        <v>94</v>
      </c>
      <c r="D28" s="13">
        <v>44.054180000000002</v>
      </c>
      <c r="E28" s="13">
        <v>8.2405100000000004</v>
      </c>
      <c r="F28" s="12" t="s">
        <v>73</v>
      </c>
      <c r="G28" s="12" t="s">
        <v>94</v>
      </c>
      <c r="H28" s="14">
        <v>11453</v>
      </c>
      <c r="L28" s="1" t="b">
        <f t="shared" si="0"/>
        <v>0</v>
      </c>
      <c r="M28" s="1" t="b">
        <f t="shared" si="1"/>
        <v>0</v>
      </c>
    </row>
    <row r="29" spans="1:13" ht="9.75" customHeight="1" x14ac:dyDescent="0.15">
      <c r="A29" s="16" t="s">
        <v>52</v>
      </c>
      <c r="B29" s="12" t="s">
        <v>95</v>
      </c>
      <c r="C29" s="12" t="s">
        <v>96</v>
      </c>
      <c r="D29" s="13">
        <v>44.152079999999998</v>
      </c>
      <c r="E29" s="13">
        <v>8.32348</v>
      </c>
      <c r="F29" s="12" t="s">
        <v>97</v>
      </c>
      <c r="G29" s="12" t="s">
        <v>96</v>
      </c>
      <c r="H29" s="14">
        <v>6433</v>
      </c>
      <c r="L29" s="1" t="b">
        <f t="shared" si="0"/>
        <v>0</v>
      </c>
      <c r="M29" s="1" t="b">
        <f t="shared" si="1"/>
        <v>0</v>
      </c>
    </row>
    <row r="30" spans="1:13" ht="9.75" customHeight="1" x14ac:dyDescent="0.15">
      <c r="A30" s="16" t="s">
        <v>52</v>
      </c>
      <c r="B30" s="12" t="s">
        <v>98</v>
      </c>
      <c r="C30" s="12" t="s">
        <v>99</v>
      </c>
      <c r="D30" s="13">
        <v>44.108260000000001</v>
      </c>
      <c r="E30" s="13">
        <v>8.2644500000000001</v>
      </c>
      <c r="F30" s="12" t="s">
        <v>100</v>
      </c>
      <c r="G30" s="12" t="s">
        <v>99</v>
      </c>
      <c r="H30" s="14">
        <v>134006</v>
      </c>
      <c r="I30" s="3">
        <v>6</v>
      </c>
      <c r="L30" s="15">
        <f t="shared" si="0"/>
        <v>44.108260000000001</v>
      </c>
      <c r="M30" s="15">
        <f t="shared" si="1"/>
        <v>8.2644500000000001</v>
      </c>
    </row>
    <row r="31" spans="1:13" ht="9.75" customHeight="1" x14ac:dyDescent="0.15">
      <c r="A31" s="16" t="s">
        <v>52</v>
      </c>
      <c r="B31" s="12" t="s">
        <v>101</v>
      </c>
      <c r="C31" s="12" t="s">
        <v>102</v>
      </c>
      <c r="D31" s="13">
        <v>44.409979999999997</v>
      </c>
      <c r="E31" s="13">
        <v>8.7947000000000006</v>
      </c>
      <c r="F31" s="12" t="s">
        <v>86</v>
      </c>
      <c r="G31" s="12" t="s">
        <v>102</v>
      </c>
      <c r="H31" s="14">
        <v>20507</v>
      </c>
      <c r="L31" s="1" t="b">
        <f t="shared" si="0"/>
        <v>0</v>
      </c>
      <c r="M31" s="1" t="b">
        <f t="shared" si="1"/>
        <v>0</v>
      </c>
    </row>
    <row r="32" spans="1:13" ht="9.75" customHeight="1" x14ac:dyDescent="0.15">
      <c r="A32" s="16" t="s">
        <v>52</v>
      </c>
      <c r="B32" s="12" t="s">
        <v>103</v>
      </c>
      <c r="C32" s="12" t="s">
        <v>104</v>
      </c>
      <c r="D32" s="13">
        <v>44.256959999999999</v>
      </c>
      <c r="E32" s="13">
        <v>9.3897099999999991</v>
      </c>
      <c r="F32" s="12" t="s">
        <v>62</v>
      </c>
      <c r="G32" s="12" t="s">
        <v>104</v>
      </c>
      <c r="H32" s="14">
        <v>15000</v>
      </c>
      <c r="L32" s="1" t="b">
        <f t="shared" si="0"/>
        <v>0</v>
      </c>
      <c r="M32" s="1" t="b">
        <f t="shared" si="1"/>
        <v>0</v>
      </c>
    </row>
    <row r="33" spans="1:13" ht="9.75" customHeight="1" x14ac:dyDescent="0.15">
      <c r="A33" s="16" t="s">
        <v>52</v>
      </c>
      <c r="B33" s="12" t="s">
        <v>70</v>
      </c>
      <c r="C33" s="12" t="s">
        <v>105</v>
      </c>
      <c r="D33" s="13">
        <v>44.418030000000002</v>
      </c>
      <c r="E33" s="13">
        <v>8.7561099999999996</v>
      </c>
      <c r="F33" s="12" t="s">
        <v>84</v>
      </c>
      <c r="G33" s="12" t="s">
        <v>105</v>
      </c>
      <c r="H33" s="14">
        <v>40946</v>
      </c>
      <c r="I33" s="3">
        <v>6</v>
      </c>
      <c r="L33" s="1">
        <f t="shared" si="0"/>
        <v>44.418030000000002</v>
      </c>
      <c r="M33" s="1">
        <f t="shared" si="1"/>
        <v>8.7561099999999996</v>
      </c>
    </row>
    <row r="34" spans="1:13" ht="9.75" customHeight="1" x14ac:dyDescent="0.15">
      <c r="A34" s="16" t="s">
        <v>52</v>
      </c>
      <c r="B34" s="12" t="s">
        <v>106</v>
      </c>
      <c r="C34" s="12" t="s">
        <v>107</v>
      </c>
      <c r="D34" s="13">
        <v>44.31353</v>
      </c>
      <c r="E34" s="13">
        <v>9.2864000000000004</v>
      </c>
      <c r="F34" s="12" t="s">
        <v>53</v>
      </c>
      <c r="G34" s="12" t="s">
        <v>107</v>
      </c>
      <c r="H34" s="14">
        <v>46984</v>
      </c>
      <c r="I34" s="3">
        <v>6</v>
      </c>
      <c r="L34" s="1">
        <f t="shared" si="0"/>
        <v>44.31353</v>
      </c>
      <c r="M34" s="1">
        <f t="shared" si="1"/>
        <v>9.2864000000000004</v>
      </c>
    </row>
    <row r="35" spans="1:13" ht="9.75" customHeight="1" x14ac:dyDescent="0.15">
      <c r="A35" s="16" t="s">
        <v>52</v>
      </c>
      <c r="B35" s="12" t="s">
        <v>72</v>
      </c>
      <c r="C35" s="12" t="s">
        <v>108</v>
      </c>
      <c r="D35" s="13">
        <v>44.320039999999999</v>
      </c>
      <c r="E35" s="13">
        <v>9.2442700000000002</v>
      </c>
      <c r="F35" s="12" t="s">
        <v>109</v>
      </c>
      <c r="G35" s="12" t="s">
        <v>108</v>
      </c>
      <c r="H35" s="14">
        <v>24973</v>
      </c>
      <c r="L35" s="1" t="b">
        <f t="shared" si="0"/>
        <v>0</v>
      </c>
      <c r="M35" s="1" t="b">
        <f t="shared" si="1"/>
        <v>0</v>
      </c>
    </row>
    <row r="36" spans="1:13" ht="9.75" customHeight="1" x14ac:dyDescent="0.15">
      <c r="A36" s="16" t="s">
        <v>52</v>
      </c>
      <c r="B36" s="12" t="s">
        <v>110</v>
      </c>
      <c r="C36" s="12" t="s">
        <v>111</v>
      </c>
      <c r="D36" s="13">
        <v>44.351610000000001</v>
      </c>
      <c r="E36" s="13">
        <v>9.1304400000000001</v>
      </c>
      <c r="F36" s="12" t="s">
        <v>112</v>
      </c>
      <c r="G36" s="12" t="s">
        <v>111</v>
      </c>
      <c r="H36" s="14">
        <v>38873</v>
      </c>
      <c r="L36" s="1" t="b">
        <f t="shared" si="0"/>
        <v>0</v>
      </c>
      <c r="M36" s="1" t="b">
        <f t="shared" si="1"/>
        <v>0</v>
      </c>
    </row>
    <row r="37" spans="1:13" ht="9.75" customHeight="1" x14ac:dyDescent="0.15">
      <c r="A37" s="16" t="s">
        <v>52</v>
      </c>
      <c r="B37" s="12" t="s">
        <v>113</v>
      </c>
      <c r="C37" s="12" t="s">
        <v>114</v>
      </c>
      <c r="D37" s="13">
        <v>44.382629999999999</v>
      </c>
      <c r="E37" s="13">
        <v>8.9510299999999994</v>
      </c>
      <c r="F37" s="12" t="s">
        <v>93</v>
      </c>
      <c r="G37" s="12" t="s">
        <v>114</v>
      </c>
      <c r="H37" s="14">
        <v>199718</v>
      </c>
      <c r="I37" s="3">
        <v>6</v>
      </c>
      <c r="L37" s="15">
        <f t="shared" si="0"/>
        <v>44.382629999999999</v>
      </c>
      <c r="M37" s="15">
        <f t="shared" si="1"/>
        <v>8.9510299999999994</v>
      </c>
    </row>
    <row r="38" spans="1:13" ht="9.75" customHeight="1" x14ac:dyDescent="0.15">
      <c r="A38" s="16" t="s">
        <v>52</v>
      </c>
      <c r="B38" s="12" t="s">
        <v>115</v>
      </c>
      <c r="C38" s="12" t="s">
        <v>116</v>
      </c>
      <c r="D38" s="13">
        <v>44.37509</v>
      </c>
      <c r="E38" s="13">
        <v>9.0061400000000003</v>
      </c>
      <c r="F38" s="12" t="s">
        <v>95</v>
      </c>
      <c r="G38" s="12" t="s">
        <v>116</v>
      </c>
      <c r="H38" s="14">
        <v>48748</v>
      </c>
      <c r="L38" s="1" t="b">
        <f t="shared" si="0"/>
        <v>0</v>
      </c>
      <c r="M38" s="1" t="b">
        <f t="shared" si="1"/>
        <v>0</v>
      </c>
    </row>
    <row r="39" spans="1:13" ht="9.75" customHeight="1" x14ac:dyDescent="0.15">
      <c r="A39" s="16" t="s">
        <v>52</v>
      </c>
      <c r="B39" s="12" t="s">
        <v>117</v>
      </c>
      <c r="C39" s="12" t="s">
        <v>118</v>
      </c>
      <c r="D39" s="13">
        <v>44.322980000000001</v>
      </c>
      <c r="E39" s="13">
        <v>9.2479999999999993</v>
      </c>
      <c r="F39" s="12" t="s">
        <v>119</v>
      </c>
      <c r="G39" s="12" t="s">
        <v>120</v>
      </c>
      <c r="H39" s="14">
        <v>56537</v>
      </c>
      <c r="L39" s="15" t="b">
        <f t="shared" si="0"/>
        <v>0</v>
      </c>
      <c r="M39" s="15" t="b">
        <f t="shared" si="1"/>
        <v>0</v>
      </c>
    </row>
    <row r="40" spans="1:13" ht="9.75" customHeight="1" x14ac:dyDescent="0.15">
      <c r="A40" s="16" t="s">
        <v>52</v>
      </c>
      <c r="B40" s="12" t="s">
        <v>121</v>
      </c>
      <c r="C40" s="12" t="s">
        <v>122</v>
      </c>
      <c r="D40" s="13">
        <v>43.81382</v>
      </c>
      <c r="E40" s="13">
        <v>7.8760899999999996</v>
      </c>
      <c r="F40" s="12" t="s">
        <v>123</v>
      </c>
      <c r="G40" s="12" t="s">
        <v>122</v>
      </c>
      <c r="H40" s="14">
        <v>35000</v>
      </c>
      <c r="L40" s="1" t="b">
        <f t="shared" si="0"/>
        <v>0</v>
      </c>
      <c r="M40" s="1" t="b">
        <f t="shared" si="1"/>
        <v>0</v>
      </c>
    </row>
    <row r="41" spans="1:13" ht="9.75" customHeight="1" x14ac:dyDescent="0.15">
      <c r="A41" s="16" t="s">
        <v>52</v>
      </c>
      <c r="B41" s="12" t="s">
        <v>124</v>
      </c>
      <c r="C41" s="12" t="s">
        <v>125</v>
      </c>
      <c r="D41" s="13">
        <v>44.247689999999999</v>
      </c>
      <c r="E41" s="13">
        <v>9.4139499999999998</v>
      </c>
      <c r="F41" s="12" t="s">
        <v>103</v>
      </c>
      <c r="G41" s="12" t="s">
        <v>125</v>
      </c>
      <c r="H41" s="14">
        <v>11000</v>
      </c>
      <c r="L41" s="1" t="b">
        <f t="shared" si="0"/>
        <v>0</v>
      </c>
      <c r="M41" s="1" t="b">
        <f t="shared" si="1"/>
        <v>0</v>
      </c>
    </row>
    <row r="42" spans="1:13" ht="9.75" customHeight="1" x14ac:dyDescent="0.15">
      <c r="A42" s="16" t="s">
        <v>52</v>
      </c>
      <c r="B42" s="12" t="s">
        <v>126</v>
      </c>
      <c r="C42" s="12" t="s">
        <v>127</v>
      </c>
      <c r="D42" s="13">
        <v>43.908619999999999</v>
      </c>
      <c r="E42" s="13">
        <v>8.1136099999999995</v>
      </c>
      <c r="F42" s="12" t="s">
        <v>121</v>
      </c>
      <c r="G42" s="12" t="s">
        <v>127</v>
      </c>
      <c r="H42" s="14">
        <v>7000</v>
      </c>
      <c r="L42" s="1" t="b">
        <f t="shared" si="0"/>
        <v>0</v>
      </c>
      <c r="M42" s="1" t="b">
        <f t="shared" si="1"/>
        <v>0</v>
      </c>
    </row>
    <row r="43" spans="1:13" ht="9.75" customHeight="1" x14ac:dyDescent="0.15">
      <c r="A43" s="16" t="s">
        <v>52</v>
      </c>
      <c r="B43" s="12" t="s">
        <v>128</v>
      </c>
      <c r="C43" s="12" t="s">
        <v>129</v>
      </c>
      <c r="D43" s="13">
        <v>44.405760000000001</v>
      </c>
      <c r="E43" s="13">
        <v>8.8234100000000009</v>
      </c>
      <c r="F43" s="12" t="s">
        <v>88</v>
      </c>
      <c r="G43" s="12" t="s">
        <v>129</v>
      </c>
      <c r="H43" s="14">
        <v>49867</v>
      </c>
      <c r="L43" s="1" t="b">
        <f t="shared" si="0"/>
        <v>0</v>
      </c>
      <c r="M43" s="1" t="b">
        <f t="shared" si="1"/>
        <v>0</v>
      </c>
    </row>
    <row r="44" spans="1:13" ht="9.75" customHeight="1" x14ac:dyDescent="0.15">
      <c r="A44" s="16" t="s">
        <v>52</v>
      </c>
      <c r="B44" s="12" t="s">
        <v>130</v>
      </c>
      <c r="C44" s="12" t="s">
        <v>131</v>
      </c>
      <c r="D44" s="13">
        <v>44.111460000000001</v>
      </c>
      <c r="E44" s="13">
        <v>9.8614499999999996</v>
      </c>
      <c r="F44" s="12" t="s">
        <v>132</v>
      </c>
      <c r="G44" s="12" t="s">
        <v>131</v>
      </c>
      <c r="H44" s="14">
        <v>88848</v>
      </c>
      <c r="I44" s="3">
        <v>6</v>
      </c>
      <c r="L44" s="15">
        <f t="shared" si="0"/>
        <v>44.111460000000001</v>
      </c>
      <c r="M44" s="15">
        <f t="shared" si="1"/>
        <v>9.8614499999999996</v>
      </c>
    </row>
    <row r="45" spans="1:13" ht="9.75" customHeight="1" x14ac:dyDescent="0.15">
      <c r="A45" s="16" t="s">
        <v>52</v>
      </c>
      <c r="B45" s="12" t="s">
        <v>97</v>
      </c>
      <c r="C45" s="12" t="s">
        <v>133</v>
      </c>
      <c r="D45" s="13">
        <v>44.376869999999997</v>
      </c>
      <c r="E45" s="13">
        <v>8.98095</v>
      </c>
      <c r="F45" s="12" t="s">
        <v>134</v>
      </c>
      <c r="G45" s="12" t="s">
        <v>133</v>
      </c>
      <c r="H45" s="14">
        <v>43580</v>
      </c>
      <c r="L45" s="1" t="b">
        <f t="shared" si="0"/>
        <v>0</v>
      </c>
      <c r="M45" s="1" t="b">
        <f t="shared" si="1"/>
        <v>0</v>
      </c>
    </row>
    <row r="46" spans="1:13" ht="9.75" customHeight="1" x14ac:dyDescent="0.15">
      <c r="A46" s="16" t="s">
        <v>52</v>
      </c>
      <c r="B46" s="12" t="s">
        <v>135</v>
      </c>
      <c r="C46" s="12" t="s">
        <v>136</v>
      </c>
      <c r="D46" s="13">
        <v>43.773620000000001</v>
      </c>
      <c r="E46" s="13">
        <v>7.63192</v>
      </c>
      <c r="F46" s="12" t="s">
        <v>137</v>
      </c>
      <c r="G46" s="12" t="s">
        <v>136</v>
      </c>
      <c r="H46" s="14">
        <v>35000</v>
      </c>
      <c r="L46" s="1" t="b">
        <f t="shared" si="0"/>
        <v>0</v>
      </c>
      <c r="M46" s="1" t="b">
        <f t="shared" si="1"/>
        <v>0</v>
      </c>
    </row>
    <row r="47" spans="1:13" ht="9.75" customHeight="1" x14ac:dyDescent="0.15">
      <c r="A47" s="16" t="s">
        <v>52</v>
      </c>
      <c r="B47" s="12" t="s">
        <v>138</v>
      </c>
      <c r="C47" s="12" t="s">
        <v>139</v>
      </c>
      <c r="D47" s="13">
        <v>43.76972</v>
      </c>
      <c r="E47" s="13">
        <v>7.6223999999999998</v>
      </c>
      <c r="F47" s="12" t="s">
        <v>140</v>
      </c>
      <c r="G47" s="12" t="s">
        <v>141</v>
      </c>
      <c r="H47" s="14">
        <v>42550</v>
      </c>
      <c r="L47" s="1" t="b">
        <f t="shared" si="0"/>
        <v>0</v>
      </c>
      <c r="M47" s="1" t="b">
        <f t="shared" si="1"/>
        <v>0</v>
      </c>
    </row>
    <row r="48" spans="1:13" ht="9.75" customHeight="1" x14ac:dyDescent="0.15">
      <c r="A48" s="16" t="s">
        <v>52</v>
      </c>
      <c r="B48" s="12" t="s">
        <v>92</v>
      </c>
      <c r="C48" s="12" t="s">
        <v>142</v>
      </c>
      <c r="D48" s="13">
        <v>44.137459999999997</v>
      </c>
      <c r="E48" s="13">
        <v>8.2951300000000003</v>
      </c>
      <c r="F48" s="12" t="s">
        <v>143</v>
      </c>
      <c r="G48" s="12" t="s">
        <v>142</v>
      </c>
      <c r="H48" s="14">
        <v>14860</v>
      </c>
      <c r="L48" s="1" t="b">
        <f t="shared" si="0"/>
        <v>0</v>
      </c>
      <c r="M48" s="1" t="b">
        <f t="shared" si="1"/>
        <v>0</v>
      </c>
    </row>
    <row r="49" spans="1:13" ht="9.75" customHeight="1" x14ac:dyDescent="0.15">
      <c r="A49" s="16" t="s">
        <v>52</v>
      </c>
      <c r="B49" s="12" t="s">
        <v>134</v>
      </c>
      <c r="C49" s="12" t="s">
        <v>144</v>
      </c>
      <c r="D49" s="13">
        <v>43.940150000000003</v>
      </c>
      <c r="E49" s="13">
        <v>8.1666000000000007</v>
      </c>
      <c r="F49" s="12" t="s">
        <v>135</v>
      </c>
      <c r="G49" s="12" t="s">
        <v>144</v>
      </c>
      <c r="H49" s="14">
        <v>20693</v>
      </c>
      <c r="L49" s="1" t="b">
        <f t="shared" si="0"/>
        <v>0</v>
      </c>
      <c r="M49" s="1" t="b">
        <f t="shared" si="1"/>
        <v>0</v>
      </c>
    </row>
    <row r="50" spans="1:13" ht="9.75" customHeight="1" x14ac:dyDescent="0.15">
      <c r="A50" s="16" t="s">
        <v>52</v>
      </c>
      <c r="B50" s="12" t="s">
        <v>145</v>
      </c>
      <c r="C50" s="12" t="s">
        <v>146</v>
      </c>
      <c r="D50" s="13">
        <v>44.206229999999998</v>
      </c>
      <c r="E50" s="13">
        <v>9.5091599999999996</v>
      </c>
      <c r="F50" s="12" t="s">
        <v>145</v>
      </c>
      <c r="G50" s="12" t="s">
        <v>146</v>
      </c>
      <c r="H50" s="14">
        <v>6239</v>
      </c>
      <c r="L50" s="1" t="b">
        <f t="shared" si="0"/>
        <v>0</v>
      </c>
      <c r="M50" s="1" t="b">
        <f t="shared" si="1"/>
        <v>0</v>
      </c>
    </row>
    <row r="51" spans="1:13" ht="9.75" customHeight="1" x14ac:dyDescent="0.15">
      <c r="A51" s="16" t="s">
        <v>52</v>
      </c>
      <c r="B51" s="12" t="s">
        <v>147</v>
      </c>
      <c r="C51" s="12" t="s">
        <v>148</v>
      </c>
      <c r="D51" s="13">
        <v>44.127800000000001</v>
      </c>
      <c r="E51" s="13">
        <v>9.6452000000000009</v>
      </c>
      <c r="F51" s="12" t="s">
        <v>147</v>
      </c>
      <c r="G51" s="12" t="s">
        <v>148</v>
      </c>
      <c r="H51" s="14">
        <v>2733</v>
      </c>
      <c r="L51" s="1" t="b">
        <f t="shared" si="0"/>
        <v>0</v>
      </c>
      <c r="M51" s="1" t="b">
        <f t="shared" si="1"/>
        <v>0</v>
      </c>
    </row>
    <row r="52" spans="1:13" ht="9.75" customHeight="1" x14ac:dyDescent="0.15">
      <c r="A52" s="16" t="s">
        <v>52</v>
      </c>
      <c r="B52" s="12" t="s">
        <v>149</v>
      </c>
      <c r="C52" s="12" t="s">
        <v>150</v>
      </c>
      <c r="D52" s="13">
        <v>44.167900000000003</v>
      </c>
      <c r="E52" s="13">
        <v>9.5896399999999993</v>
      </c>
      <c r="F52" s="12" t="s">
        <v>149</v>
      </c>
      <c r="G52" s="12" t="s">
        <v>150</v>
      </c>
      <c r="H52" s="14">
        <v>8942</v>
      </c>
      <c r="L52" s="1" t="b">
        <f t="shared" si="0"/>
        <v>0</v>
      </c>
      <c r="M52" s="1" t="b">
        <f t="shared" si="1"/>
        <v>0</v>
      </c>
    </row>
    <row r="53" spans="1:13" ht="9.75" customHeight="1" x14ac:dyDescent="0.15">
      <c r="A53" s="16" t="s">
        <v>151</v>
      </c>
      <c r="B53" s="12" t="s">
        <v>152</v>
      </c>
      <c r="C53" s="12" t="s">
        <v>153</v>
      </c>
      <c r="D53" s="13">
        <v>42.788229999999999</v>
      </c>
      <c r="E53" s="13">
        <v>10.354990000000001</v>
      </c>
      <c r="F53" s="12" t="s">
        <v>152</v>
      </c>
      <c r="G53" s="12" t="s">
        <v>153</v>
      </c>
      <c r="H53" s="14">
        <v>15884</v>
      </c>
      <c r="L53" s="1" t="b">
        <f t="shared" si="0"/>
        <v>0</v>
      </c>
      <c r="M53" s="1" t="b">
        <f t="shared" si="1"/>
        <v>0</v>
      </c>
    </row>
    <row r="54" spans="1:13" ht="9.75" customHeight="1" x14ac:dyDescent="0.15">
      <c r="A54" s="16" t="s">
        <v>151</v>
      </c>
      <c r="B54" s="12" t="s">
        <v>154</v>
      </c>
      <c r="C54" s="12" t="s">
        <v>155</v>
      </c>
      <c r="D54" s="13">
        <v>42.746879999999997</v>
      </c>
      <c r="E54" s="13">
        <v>10.228260000000001</v>
      </c>
      <c r="F54" s="12" t="s">
        <v>154</v>
      </c>
      <c r="G54" s="12" t="s">
        <v>156</v>
      </c>
      <c r="H54" s="14">
        <v>15000</v>
      </c>
      <c r="L54" s="1" t="b">
        <f t="shared" si="0"/>
        <v>0</v>
      </c>
      <c r="M54" s="1" t="b">
        <f t="shared" si="1"/>
        <v>0</v>
      </c>
    </row>
    <row r="55" spans="1:13" ht="9.75" customHeight="1" x14ac:dyDescent="0.15">
      <c r="A55" s="16" t="s">
        <v>151</v>
      </c>
      <c r="B55" s="12" t="s">
        <v>157</v>
      </c>
      <c r="C55" s="12" t="s">
        <v>158</v>
      </c>
      <c r="D55" s="13">
        <v>43.378149999999998</v>
      </c>
      <c r="E55" s="13">
        <v>10.44403</v>
      </c>
      <c r="F55" s="12" t="s">
        <v>157</v>
      </c>
      <c r="G55" s="12" t="s">
        <v>158</v>
      </c>
      <c r="H55" s="14">
        <v>44362</v>
      </c>
      <c r="L55" s="1" t="b">
        <f t="shared" si="0"/>
        <v>0</v>
      </c>
      <c r="M55" s="1" t="b">
        <f t="shared" si="1"/>
        <v>0</v>
      </c>
    </row>
    <row r="56" spans="1:13" ht="9.75" customHeight="1" x14ac:dyDescent="0.15">
      <c r="A56" s="16" t="s">
        <v>151</v>
      </c>
      <c r="B56" s="12" t="s">
        <v>159</v>
      </c>
      <c r="C56" s="12" t="s">
        <v>160</v>
      </c>
      <c r="D56" s="13">
        <v>43.104109999999999</v>
      </c>
      <c r="E56" s="13">
        <v>10.543570000000001</v>
      </c>
      <c r="F56" s="12" t="s">
        <v>159</v>
      </c>
      <c r="G56" s="12" t="s">
        <v>161</v>
      </c>
      <c r="H56" s="14">
        <v>3750</v>
      </c>
      <c r="L56" s="1" t="b">
        <f t="shared" si="0"/>
        <v>0</v>
      </c>
      <c r="M56" s="1" t="b">
        <f t="shared" si="1"/>
        <v>0</v>
      </c>
    </row>
    <row r="57" spans="1:13" ht="9.75" customHeight="1" x14ac:dyDescent="0.15">
      <c r="A57" s="16" t="s">
        <v>151</v>
      </c>
      <c r="B57" s="12" t="s">
        <v>162</v>
      </c>
      <c r="C57" s="12" t="s">
        <v>163</v>
      </c>
      <c r="D57" s="13">
        <v>42.708300000000001</v>
      </c>
      <c r="E57" s="13">
        <v>11.011520000000001</v>
      </c>
      <c r="F57" s="12" t="s">
        <v>162</v>
      </c>
      <c r="G57" s="12" t="s">
        <v>163</v>
      </c>
      <c r="H57" s="14">
        <v>2448</v>
      </c>
      <c r="L57" s="1" t="b">
        <f t="shared" si="0"/>
        <v>0</v>
      </c>
      <c r="M57" s="1" t="b">
        <f t="shared" si="1"/>
        <v>0</v>
      </c>
    </row>
    <row r="58" spans="1:13" ht="9.75" customHeight="1" x14ac:dyDescent="0.15">
      <c r="A58" s="16" t="s">
        <v>151</v>
      </c>
      <c r="B58" s="12" t="s">
        <v>164</v>
      </c>
      <c r="C58" s="12" t="s">
        <v>165</v>
      </c>
      <c r="D58" s="13">
        <v>42.414999999999999</v>
      </c>
      <c r="E58" s="13">
        <v>11.2746</v>
      </c>
      <c r="F58" s="12" t="s">
        <v>164</v>
      </c>
      <c r="G58" s="12" t="s">
        <v>165</v>
      </c>
      <c r="H58" s="14">
        <v>57584</v>
      </c>
      <c r="I58" s="3">
        <v>5</v>
      </c>
      <c r="L58" s="15">
        <f t="shared" si="0"/>
        <v>42.414999999999999</v>
      </c>
      <c r="M58" s="15">
        <f t="shared" si="1"/>
        <v>11.2746</v>
      </c>
    </row>
    <row r="59" spans="1:13" ht="9.75" customHeight="1" x14ac:dyDescent="0.15">
      <c r="A59" s="12" t="s">
        <v>166</v>
      </c>
      <c r="B59" s="12" t="s">
        <v>167</v>
      </c>
      <c r="C59" s="12" t="s">
        <v>168</v>
      </c>
      <c r="D59" s="13">
        <v>43.377099999999999</v>
      </c>
      <c r="E59" s="13">
        <v>13.691000000000001</v>
      </c>
      <c r="F59" s="12" t="s">
        <v>169</v>
      </c>
      <c r="G59" s="12" t="s">
        <v>170</v>
      </c>
      <c r="H59" s="14">
        <v>11129</v>
      </c>
      <c r="I59" s="3">
        <v>1</v>
      </c>
      <c r="L59" s="15">
        <f t="shared" si="0"/>
        <v>43.377099999999999</v>
      </c>
      <c r="M59" s="15">
        <f t="shared" si="1"/>
        <v>13.691000000000001</v>
      </c>
    </row>
    <row r="60" spans="1:13" ht="9.75" customHeight="1" x14ac:dyDescent="0.15">
      <c r="A60" s="17" t="s">
        <v>171</v>
      </c>
      <c r="B60" s="12" t="s">
        <v>172</v>
      </c>
      <c r="C60" s="12" t="s">
        <v>173</v>
      </c>
      <c r="D60" s="13">
        <v>41.456780000000002</v>
      </c>
      <c r="E60" s="13">
        <v>12.611499999999999</v>
      </c>
      <c r="F60" s="12" t="s">
        <v>174</v>
      </c>
      <c r="G60" s="12" t="s">
        <v>173</v>
      </c>
      <c r="H60" s="14">
        <v>60700</v>
      </c>
      <c r="I60" s="3">
        <v>5</v>
      </c>
      <c r="L60" s="15">
        <f t="shared" si="0"/>
        <v>41.456780000000002</v>
      </c>
      <c r="M60" s="15">
        <f t="shared" si="1"/>
        <v>12.611499999999999</v>
      </c>
    </row>
    <row r="61" spans="1:13" ht="9.75" customHeight="1" x14ac:dyDescent="0.15">
      <c r="A61" s="17" t="s">
        <v>171</v>
      </c>
      <c r="B61" s="12" t="s">
        <v>175</v>
      </c>
      <c r="C61" s="12" t="s">
        <v>176</v>
      </c>
      <c r="D61" s="13">
        <v>41.505600000000001</v>
      </c>
      <c r="E61" s="13">
        <v>12.55603</v>
      </c>
      <c r="F61" s="12" t="s">
        <v>177</v>
      </c>
      <c r="G61" s="12" t="s">
        <v>176</v>
      </c>
      <c r="H61" s="14">
        <v>34000</v>
      </c>
      <c r="I61" s="3">
        <v>5</v>
      </c>
      <c r="L61" s="1">
        <f t="shared" si="0"/>
        <v>41.505600000000001</v>
      </c>
      <c r="M61" s="1">
        <f t="shared" si="1"/>
        <v>12.55603</v>
      </c>
    </row>
    <row r="62" spans="1:13" ht="9.75" customHeight="1" x14ac:dyDescent="0.15">
      <c r="A62" s="17" t="s">
        <v>171</v>
      </c>
      <c r="B62" s="12" t="s">
        <v>178</v>
      </c>
      <c r="C62" s="12" t="s">
        <v>179</v>
      </c>
      <c r="D62" s="13">
        <v>41.453589999999998</v>
      </c>
      <c r="E62" s="13">
        <v>12.68538</v>
      </c>
      <c r="F62" s="12" t="s">
        <v>180</v>
      </c>
      <c r="G62" s="12" t="s">
        <v>179</v>
      </c>
      <c r="H62" s="14">
        <v>266700</v>
      </c>
      <c r="I62" s="3">
        <v>5</v>
      </c>
      <c r="L62" s="15">
        <f t="shared" si="0"/>
        <v>41.453589999999998</v>
      </c>
      <c r="M62" s="15">
        <f t="shared" si="1"/>
        <v>12.68538</v>
      </c>
    </row>
    <row r="63" spans="1:13" ht="9.75" customHeight="1" x14ac:dyDescent="0.15">
      <c r="A63" s="17" t="s">
        <v>171</v>
      </c>
      <c r="B63" s="12" t="s">
        <v>181</v>
      </c>
      <c r="C63" s="12" t="s">
        <v>182</v>
      </c>
      <c r="D63" s="13">
        <v>41.624189999999999</v>
      </c>
      <c r="E63" s="13">
        <v>12.45196</v>
      </c>
      <c r="F63" s="12" t="s">
        <v>183</v>
      </c>
      <c r="G63" s="12" t="s">
        <v>184</v>
      </c>
      <c r="H63" s="14">
        <v>18270</v>
      </c>
      <c r="L63" s="1" t="b">
        <f t="shared" si="0"/>
        <v>0</v>
      </c>
      <c r="M63" s="1" t="b">
        <f t="shared" si="1"/>
        <v>0</v>
      </c>
    </row>
    <row r="64" spans="1:13" ht="9.75" customHeight="1" x14ac:dyDescent="0.15">
      <c r="A64" s="17" t="s">
        <v>171</v>
      </c>
      <c r="B64" s="12" t="s">
        <v>185</v>
      </c>
      <c r="C64" s="12" t="s">
        <v>186</v>
      </c>
      <c r="D64" s="13">
        <v>41.953180000000003</v>
      </c>
      <c r="E64" s="13">
        <v>12.056789999999999</v>
      </c>
      <c r="F64" s="12" t="s">
        <v>187</v>
      </c>
      <c r="G64" s="12" t="s">
        <v>186</v>
      </c>
      <c r="H64" s="14">
        <v>90000</v>
      </c>
      <c r="I64" s="3">
        <v>5</v>
      </c>
      <c r="L64" s="15">
        <f t="shared" si="0"/>
        <v>41.953180000000003</v>
      </c>
      <c r="M64" s="15">
        <f t="shared" si="1"/>
        <v>12.056789999999999</v>
      </c>
    </row>
    <row r="65" spans="1:13" ht="9.75" customHeight="1" x14ac:dyDescent="0.15">
      <c r="A65" s="17" t="s">
        <v>171</v>
      </c>
      <c r="B65" s="12" t="s">
        <v>188</v>
      </c>
      <c r="C65" s="12" t="s">
        <v>189</v>
      </c>
      <c r="D65" s="13">
        <v>41.30341</v>
      </c>
      <c r="E65" s="13">
        <v>12.999029999999999</v>
      </c>
      <c r="F65" s="12" t="s">
        <v>190</v>
      </c>
      <c r="G65" s="12" t="s">
        <v>189</v>
      </c>
      <c r="H65" s="14">
        <v>23350</v>
      </c>
      <c r="L65" s="1" t="b">
        <f t="shared" si="0"/>
        <v>0</v>
      </c>
      <c r="M65" s="1" t="b">
        <f t="shared" si="1"/>
        <v>0</v>
      </c>
    </row>
    <row r="66" spans="1:13" ht="9.75" customHeight="1" x14ac:dyDescent="0.15">
      <c r="A66" s="17" t="s">
        <v>171</v>
      </c>
      <c r="B66" s="12" t="s">
        <v>191</v>
      </c>
      <c r="C66" s="12" t="s">
        <v>192</v>
      </c>
      <c r="D66" s="13">
        <v>41.232619999999997</v>
      </c>
      <c r="E66" s="13">
        <v>13.14344</v>
      </c>
      <c r="F66" s="12" t="s">
        <v>193</v>
      </c>
      <c r="G66" s="12" t="s">
        <v>192</v>
      </c>
      <c r="H66" s="14">
        <v>39867</v>
      </c>
      <c r="L66" s="15" t="b">
        <f t="shared" ref="L66:L129" si="3">IF(I66&gt;0,D66)</f>
        <v>0</v>
      </c>
      <c r="M66" s="15" t="b">
        <f t="shared" ref="M66:M129" si="4">IF(I66&gt;0,E66)</f>
        <v>0</v>
      </c>
    </row>
    <row r="67" spans="1:13" ht="9.75" customHeight="1" x14ac:dyDescent="0.15">
      <c r="A67" s="17" t="s">
        <v>171</v>
      </c>
      <c r="B67" s="12" t="s">
        <v>194</v>
      </c>
      <c r="C67" s="12" t="s">
        <v>195</v>
      </c>
      <c r="D67" s="13">
        <v>41.254109999999997</v>
      </c>
      <c r="E67" s="13">
        <v>13.40756</v>
      </c>
      <c r="F67" s="12" t="s">
        <v>196</v>
      </c>
      <c r="G67" s="12" t="s">
        <v>195</v>
      </c>
      <c r="H67" s="14">
        <v>11880</v>
      </c>
      <c r="L67" s="1" t="b">
        <f t="shared" si="3"/>
        <v>0</v>
      </c>
      <c r="M67" s="1" t="b">
        <f t="shared" si="4"/>
        <v>0</v>
      </c>
    </row>
    <row r="68" spans="1:13" ht="9.75" customHeight="1" x14ac:dyDescent="0.15">
      <c r="A68" s="17" t="s">
        <v>171</v>
      </c>
      <c r="B68" s="12" t="s">
        <v>197</v>
      </c>
      <c r="C68" s="12" t="s">
        <v>198</v>
      </c>
      <c r="D68" s="13">
        <v>41.289409999999997</v>
      </c>
      <c r="E68" s="13">
        <v>13.263680000000001</v>
      </c>
      <c r="F68" s="12" t="s">
        <v>199</v>
      </c>
      <c r="G68" s="12" t="s">
        <v>198</v>
      </c>
      <c r="H68" s="14">
        <v>10000</v>
      </c>
      <c r="L68" s="1" t="b">
        <f t="shared" si="3"/>
        <v>0</v>
      </c>
      <c r="M68" s="1" t="b">
        <f t="shared" si="4"/>
        <v>0</v>
      </c>
    </row>
    <row r="69" spans="1:13" ht="9.75" customHeight="1" x14ac:dyDescent="0.15">
      <c r="A69" s="17" t="s">
        <v>171</v>
      </c>
      <c r="B69" s="12" t="s">
        <v>200</v>
      </c>
      <c r="C69" s="12" t="s">
        <v>201</v>
      </c>
      <c r="D69" s="13">
        <v>40.796979999999998</v>
      </c>
      <c r="E69" s="13">
        <v>13.435930000000001</v>
      </c>
      <c r="F69" s="12" t="s">
        <v>202</v>
      </c>
      <c r="G69" s="12" t="s">
        <v>201</v>
      </c>
      <c r="H69" s="14">
        <v>1300</v>
      </c>
      <c r="L69" s="1" t="b">
        <f t="shared" si="3"/>
        <v>0</v>
      </c>
      <c r="M69" s="1" t="b">
        <f t="shared" si="4"/>
        <v>0</v>
      </c>
    </row>
    <row r="70" spans="1:13" ht="9.75" customHeight="1" x14ac:dyDescent="0.15">
      <c r="A70" s="11" t="s">
        <v>203</v>
      </c>
      <c r="B70" s="12" t="s">
        <v>204</v>
      </c>
      <c r="C70" s="12" t="s">
        <v>205</v>
      </c>
      <c r="D70" s="13">
        <v>42.43985</v>
      </c>
      <c r="E70" s="13">
        <v>14.24845</v>
      </c>
      <c r="F70" s="12" t="s">
        <v>204</v>
      </c>
      <c r="G70" s="12" t="s">
        <v>206</v>
      </c>
      <c r="H70" s="14">
        <v>21000</v>
      </c>
      <c r="L70" s="1" t="b">
        <f t="shared" si="3"/>
        <v>0</v>
      </c>
      <c r="M70" s="1" t="b">
        <f t="shared" si="4"/>
        <v>0</v>
      </c>
    </row>
    <row r="71" spans="1:13" ht="9.75" customHeight="1" x14ac:dyDescent="0.15">
      <c r="A71" s="11" t="s">
        <v>203</v>
      </c>
      <c r="B71" s="12" t="s">
        <v>207</v>
      </c>
      <c r="C71" s="12" t="s">
        <v>208</v>
      </c>
      <c r="D71" s="13">
        <v>42.400689999999997</v>
      </c>
      <c r="E71" s="13">
        <v>14.3133</v>
      </c>
      <c r="F71" s="12" t="s">
        <v>207</v>
      </c>
      <c r="G71" s="12" t="s">
        <v>209</v>
      </c>
      <c r="H71" s="14">
        <v>24000</v>
      </c>
      <c r="L71" s="1" t="b">
        <f t="shared" si="3"/>
        <v>0</v>
      </c>
      <c r="M71" s="1" t="b">
        <f t="shared" si="4"/>
        <v>0</v>
      </c>
    </row>
    <row r="72" spans="1:13" ht="9.75" customHeight="1" x14ac:dyDescent="0.15">
      <c r="A72" s="11" t="s">
        <v>210</v>
      </c>
      <c r="B72" s="12" t="s">
        <v>211</v>
      </c>
      <c r="C72" s="12" t="s">
        <v>212</v>
      </c>
      <c r="D72" s="13">
        <v>42.006059999999998</v>
      </c>
      <c r="E72" s="13">
        <v>14.998699999999999</v>
      </c>
      <c r="F72" s="12" t="s">
        <v>213</v>
      </c>
      <c r="G72" s="12" t="s">
        <v>212</v>
      </c>
      <c r="H72" s="14">
        <v>34236</v>
      </c>
      <c r="L72" s="15" t="b">
        <f t="shared" si="3"/>
        <v>0</v>
      </c>
      <c r="M72" s="15" t="b">
        <f t="shared" si="4"/>
        <v>0</v>
      </c>
    </row>
    <row r="73" spans="1:13" ht="9.75" customHeight="1" x14ac:dyDescent="0.15">
      <c r="A73" s="11" t="s">
        <v>210</v>
      </c>
      <c r="B73" s="12" t="s">
        <v>214</v>
      </c>
      <c r="C73" s="12" t="s">
        <v>215</v>
      </c>
      <c r="D73" s="13">
        <v>41.961930000000002</v>
      </c>
      <c r="E73" s="13">
        <v>15.00543</v>
      </c>
      <c r="F73" s="12" t="s">
        <v>216</v>
      </c>
      <c r="G73" s="12" t="s">
        <v>215</v>
      </c>
      <c r="H73" s="14">
        <v>16494</v>
      </c>
      <c r="L73" s="1" t="b">
        <f t="shared" si="3"/>
        <v>0</v>
      </c>
      <c r="M73" s="1" t="b">
        <f t="shared" si="4"/>
        <v>0</v>
      </c>
    </row>
    <row r="74" spans="1:13" ht="9.75" customHeight="1" x14ac:dyDescent="0.15">
      <c r="A74" s="16" t="s">
        <v>217</v>
      </c>
      <c r="B74" s="12" t="s">
        <v>218</v>
      </c>
      <c r="C74" s="12" t="s">
        <v>219</v>
      </c>
      <c r="D74" s="13">
        <v>40.178199999999997</v>
      </c>
      <c r="E74" s="13">
        <v>15.1175</v>
      </c>
      <c r="F74" s="12" t="s">
        <v>220</v>
      </c>
      <c r="G74" s="12" t="s">
        <v>221</v>
      </c>
      <c r="H74" s="14">
        <v>5994</v>
      </c>
      <c r="L74" s="1" t="b">
        <f t="shared" si="3"/>
        <v>0</v>
      </c>
      <c r="M74" s="1" t="b">
        <f t="shared" si="4"/>
        <v>0</v>
      </c>
    </row>
    <row r="75" spans="1:13" ht="9.75" customHeight="1" x14ac:dyDescent="0.15">
      <c r="A75" s="16" t="s">
        <v>217</v>
      </c>
      <c r="B75" s="12" t="s">
        <v>222</v>
      </c>
      <c r="C75" s="12" t="s">
        <v>223</v>
      </c>
      <c r="D75" s="13">
        <v>41.115600000000001</v>
      </c>
      <c r="E75" s="13">
        <v>13.8841</v>
      </c>
      <c r="F75" s="12" t="s">
        <v>224</v>
      </c>
      <c r="G75" s="12" t="s">
        <v>225</v>
      </c>
      <c r="H75" s="14">
        <v>30087</v>
      </c>
      <c r="L75" s="1" t="b">
        <f t="shared" si="3"/>
        <v>0</v>
      </c>
      <c r="M75" s="1" t="b">
        <f t="shared" si="4"/>
        <v>0</v>
      </c>
    </row>
    <row r="76" spans="1:13" ht="9.75" customHeight="1" x14ac:dyDescent="0.15">
      <c r="A76" s="16" t="s">
        <v>217</v>
      </c>
      <c r="B76" s="12" t="s">
        <v>226</v>
      </c>
      <c r="C76" s="12" t="s">
        <v>227</v>
      </c>
      <c r="D76" s="13">
        <v>41.188899999999997</v>
      </c>
      <c r="E76" s="13">
        <v>13.834099999999999</v>
      </c>
      <c r="F76" s="12" t="s">
        <v>228</v>
      </c>
      <c r="G76" s="12" t="s">
        <v>229</v>
      </c>
      <c r="H76" s="14">
        <v>21280</v>
      </c>
      <c r="L76" s="1" t="b">
        <f t="shared" si="3"/>
        <v>0</v>
      </c>
      <c r="M76" s="1" t="b">
        <f t="shared" si="4"/>
        <v>0</v>
      </c>
    </row>
    <row r="77" spans="1:13" ht="9.75" customHeight="1" x14ac:dyDescent="0.15">
      <c r="A77" s="16" t="s">
        <v>217</v>
      </c>
      <c r="B77" s="12" t="s">
        <v>230</v>
      </c>
      <c r="C77" s="12" t="s">
        <v>231</v>
      </c>
      <c r="D77" s="13">
        <v>41.20337</v>
      </c>
      <c r="E77" s="13">
        <v>14.093170000000001</v>
      </c>
      <c r="F77" s="12" t="s">
        <v>232</v>
      </c>
      <c r="G77" s="12" t="s">
        <v>233</v>
      </c>
      <c r="H77" s="14">
        <v>21280</v>
      </c>
      <c r="L77" s="1" t="b">
        <f t="shared" si="3"/>
        <v>0</v>
      </c>
      <c r="M77" s="1" t="b">
        <f t="shared" si="4"/>
        <v>0</v>
      </c>
    </row>
    <row r="78" spans="1:13" ht="9.75" customHeight="1" x14ac:dyDescent="0.15">
      <c r="A78" s="16" t="s">
        <v>217</v>
      </c>
      <c r="B78" s="12" t="s">
        <v>234</v>
      </c>
      <c r="C78" s="12" t="s">
        <v>235</v>
      </c>
      <c r="D78" s="13">
        <v>40.864899999999999</v>
      </c>
      <c r="E78" s="13">
        <v>14.300800000000001</v>
      </c>
      <c r="F78" s="12" t="s">
        <v>236</v>
      </c>
      <c r="G78" s="12" t="s">
        <v>237</v>
      </c>
      <c r="H78" s="14">
        <v>665311</v>
      </c>
      <c r="I78" s="3">
        <v>5</v>
      </c>
      <c r="L78" s="15">
        <f t="shared" si="3"/>
        <v>40.864899999999999</v>
      </c>
      <c r="M78" s="15">
        <f t="shared" si="4"/>
        <v>14.300800000000001</v>
      </c>
    </row>
    <row r="79" spans="1:13" ht="9.75" customHeight="1" x14ac:dyDescent="0.15">
      <c r="A79" s="16" t="s">
        <v>217</v>
      </c>
      <c r="B79" s="12" t="s">
        <v>238</v>
      </c>
      <c r="C79" s="12" t="s">
        <v>239</v>
      </c>
      <c r="D79" s="13">
        <v>40.873899999999999</v>
      </c>
      <c r="E79" s="13">
        <v>14.067500000000001</v>
      </c>
      <c r="F79" s="12" t="s">
        <v>240</v>
      </c>
      <c r="G79" s="12" t="s">
        <v>241</v>
      </c>
      <c r="H79" s="14">
        <v>837551</v>
      </c>
      <c r="I79" s="3">
        <v>5</v>
      </c>
      <c r="L79" s="15">
        <f t="shared" si="3"/>
        <v>40.873899999999999</v>
      </c>
      <c r="M79" s="15">
        <f t="shared" si="4"/>
        <v>14.067500000000001</v>
      </c>
    </row>
    <row r="80" spans="1:13" ht="9.75" customHeight="1" x14ac:dyDescent="0.15">
      <c r="A80" s="16" t="s">
        <v>217</v>
      </c>
      <c r="B80" s="12" t="s">
        <v>242</v>
      </c>
      <c r="C80" s="12" t="s">
        <v>243</v>
      </c>
      <c r="D80" s="13">
        <v>40.616</v>
      </c>
      <c r="E80" s="13">
        <v>14.334099999999999</v>
      </c>
      <c r="F80" s="12" t="s">
        <v>244</v>
      </c>
      <c r="G80" s="12" t="s">
        <v>245</v>
      </c>
      <c r="H80" s="14">
        <v>20459</v>
      </c>
      <c r="L80" s="1" t="b">
        <f t="shared" si="3"/>
        <v>0</v>
      </c>
      <c r="M80" s="1" t="b">
        <f t="shared" si="4"/>
        <v>0</v>
      </c>
    </row>
    <row r="81" spans="1:13" ht="9.75" customHeight="1" x14ac:dyDescent="0.15">
      <c r="A81" s="16" t="s">
        <v>217</v>
      </c>
      <c r="B81" s="12" t="s">
        <v>246</v>
      </c>
      <c r="C81" s="12" t="s">
        <v>243</v>
      </c>
      <c r="D81" s="13">
        <v>40.5822</v>
      </c>
      <c r="E81" s="13">
        <v>14.3508</v>
      </c>
      <c r="F81" s="12" t="s">
        <v>247</v>
      </c>
      <c r="G81" s="12" t="s">
        <v>248</v>
      </c>
      <c r="H81" s="14">
        <v>1905</v>
      </c>
      <c r="L81" s="1" t="b">
        <f t="shared" si="3"/>
        <v>0</v>
      </c>
      <c r="M81" s="1" t="b">
        <f t="shared" si="4"/>
        <v>0</v>
      </c>
    </row>
    <row r="82" spans="1:13" ht="9.75" customHeight="1" x14ac:dyDescent="0.15">
      <c r="A82" s="16" t="s">
        <v>217</v>
      </c>
      <c r="B82" s="12" t="s">
        <v>249</v>
      </c>
      <c r="C82" s="12" t="s">
        <v>250</v>
      </c>
      <c r="D82" s="13">
        <v>40.628900000000002</v>
      </c>
      <c r="E82" s="13">
        <v>14.3508</v>
      </c>
      <c r="F82" s="12" t="s">
        <v>251</v>
      </c>
      <c r="G82" s="12" t="s">
        <v>252</v>
      </c>
      <c r="H82" s="14">
        <v>33630</v>
      </c>
      <c r="L82" s="1" t="b">
        <f t="shared" si="3"/>
        <v>0</v>
      </c>
      <c r="M82" s="1" t="b">
        <f t="shared" si="4"/>
        <v>0</v>
      </c>
    </row>
    <row r="83" spans="1:13" ht="9.75" customHeight="1" x14ac:dyDescent="0.15">
      <c r="A83" s="16" t="s">
        <v>217</v>
      </c>
      <c r="B83" s="12" t="s">
        <v>253</v>
      </c>
      <c r="C83" s="12" t="s">
        <v>254</v>
      </c>
      <c r="D83" s="13">
        <v>40.537500000000001</v>
      </c>
      <c r="E83" s="13">
        <v>14.242800000000001</v>
      </c>
      <c r="F83" s="12" t="s">
        <v>255</v>
      </c>
      <c r="G83" s="12" t="s">
        <v>256</v>
      </c>
      <c r="H83" s="14">
        <v>7174</v>
      </c>
      <c r="L83" s="1" t="b">
        <f t="shared" si="3"/>
        <v>0</v>
      </c>
      <c r="M83" s="1" t="b">
        <f t="shared" si="4"/>
        <v>0</v>
      </c>
    </row>
    <row r="84" spans="1:13" ht="9.75" customHeight="1" x14ac:dyDescent="0.15">
      <c r="A84" s="16" t="s">
        <v>217</v>
      </c>
      <c r="B84" s="12" t="s">
        <v>257</v>
      </c>
      <c r="C84" s="12" t="s">
        <v>258</v>
      </c>
      <c r="D84" s="13">
        <v>40.5625</v>
      </c>
      <c r="E84" s="13">
        <v>14.210900000000001</v>
      </c>
      <c r="F84" s="12" t="s">
        <v>259</v>
      </c>
      <c r="G84" s="12" t="s">
        <v>260</v>
      </c>
      <c r="H84" s="14">
        <v>10185</v>
      </c>
      <c r="L84" s="1" t="b">
        <f t="shared" si="3"/>
        <v>0</v>
      </c>
      <c r="M84" s="1" t="b">
        <f t="shared" si="4"/>
        <v>0</v>
      </c>
    </row>
    <row r="85" spans="1:13" ht="9.75" customHeight="1" x14ac:dyDescent="0.15">
      <c r="A85" s="16" t="s">
        <v>217</v>
      </c>
      <c r="B85" s="12" t="s">
        <v>261</v>
      </c>
      <c r="C85" s="12" t="s">
        <v>262</v>
      </c>
      <c r="D85" s="13">
        <v>40.560099999999998</v>
      </c>
      <c r="E85" s="13">
        <v>14.2531</v>
      </c>
      <c r="F85" s="12" t="s">
        <v>263</v>
      </c>
      <c r="G85" s="12" t="s">
        <v>264</v>
      </c>
      <c r="H85" s="14">
        <v>8436</v>
      </c>
      <c r="L85" s="1" t="b">
        <f t="shared" si="3"/>
        <v>0</v>
      </c>
      <c r="M85" s="1" t="b">
        <f t="shared" si="4"/>
        <v>0</v>
      </c>
    </row>
    <row r="86" spans="1:13" ht="9.75" customHeight="1" x14ac:dyDescent="0.15">
      <c r="A86" s="16" t="s">
        <v>217</v>
      </c>
      <c r="B86" s="12" t="s">
        <v>265</v>
      </c>
      <c r="C86" s="12" t="s">
        <v>266</v>
      </c>
      <c r="D86" s="13">
        <v>40.7241</v>
      </c>
      <c r="E86" s="13">
        <v>14.467499999999999</v>
      </c>
      <c r="F86" s="12" t="s">
        <v>267</v>
      </c>
      <c r="G86" s="12" t="s">
        <v>268</v>
      </c>
      <c r="H86" s="14">
        <v>306564</v>
      </c>
      <c r="I86" s="3">
        <v>5</v>
      </c>
      <c r="L86" s="15">
        <f t="shared" si="3"/>
        <v>40.7241</v>
      </c>
      <c r="M86" s="15">
        <f t="shared" si="4"/>
        <v>14.467499999999999</v>
      </c>
    </row>
    <row r="87" spans="1:13" ht="9.75" customHeight="1" x14ac:dyDescent="0.15">
      <c r="A87" s="16" t="s">
        <v>217</v>
      </c>
      <c r="B87" s="12" t="s">
        <v>269</v>
      </c>
      <c r="C87" s="12" t="s">
        <v>270</v>
      </c>
      <c r="D87" s="13">
        <v>40.452399999999997</v>
      </c>
      <c r="E87" s="13">
        <v>15.0008</v>
      </c>
      <c r="F87" s="12" t="s">
        <v>271</v>
      </c>
      <c r="G87" s="12" t="s">
        <v>272</v>
      </c>
      <c r="H87" s="14">
        <v>40146</v>
      </c>
      <c r="L87" s="1" t="b">
        <f t="shared" si="3"/>
        <v>0</v>
      </c>
      <c r="M87" s="1" t="b">
        <f t="shared" si="4"/>
        <v>0</v>
      </c>
    </row>
    <row r="88" spans="1:13" ht="9.75" customHeight="1" x14ac:dyDescent="0.15">
      <c r="A88" s="16" t="s">
        <v>217</v>
      </c>
      <c r="B88" s="12" t="s">
        <v>273</v>
      </c>
      <c r="C88" s="12" t="s">
        <v>274</v>
      </c>
      <c r="D88" s="13">
        <v>40.649000000000001</v>
      </c>
      <c r="E88" s="13">
        <v>14.6341</v>
      </c>
      <c r="F88" s="12" t="s">
        <v>275</v>
      </c>
      <c r="G88" s="12" t="s">
        <v>276</v>
      </c>
      <c r="H88" s="14">
        <v>11200</v>
      </c>
      <c r="L88" s="1" t="b">
        <f t="shared" si="3"/>
        <v>0</v>
      </c>
      <c r="M88" s="1" t="b">
        <f t="shared" si="4"/>
        <v>0</v>
      </c>
    </row>
    <row r="89" spans="1:13" ht="9.75" customHeight="1" x14ac:dyDescent="0.15">
      <c r="A89" s="16" t="s">
        <v>217</v>
      </c>
      <c r="B89" s="12" t="s">
        <v>277</v>
      </c>
      <c r="C89" s="12" t="s">
        <v>278</v>
      </c>
      <c r="D89" s="13">
        <v>40.071899999999999</v>
      </c>
      <c r="E89" s="13">
        <v>15.5175</v>
      </c>
      <c r="F89" s="12" t="s">
        <v>265</v>
      </c>
      <c r="G89" s="12" t="s">
        <v>279</v>
      </c>
      <c r="H89" s="14">
        <v>4778</v>
      </c>
      <c r="L89" s="1" t="b">
        <f t="shared" si="3"/>
        <v>0</v>
      </c>
      <c r="M89" s="1" t="b">
        <f t="shared" si="4"/>
        <v>0</v>
      </c>
    </row>
    <row r="90" spans="1:13" ht="9.75" customHeight="1" x14ac:dyDescent="0.15">
      <c r="A90" s="16" t="s">
        <v>217</v>
      </c>
      <c r="B90" s="12" t="s">
        <v>280</v>
      </c>
      <c r="C90" s="12" t="s">
        <v>281</v>
      </c>
      <c r="D90" s="13">
        <v>40.075400000000002</v>
      </c>
      <c r="E90" s="13">
        <v>15.6175</v>
      </c>
      <c r="F90" s="12" t="s">
        <v>282</v>
      </c>
      <c r="G90" s="12" t="s">
        <v>283</v>
      </c>
      <c r="H90" s="14">
        <v>12647</v>
      </c>
      <c r="L90" s="1" t="b">
        <f t="shared" si="3"/>
        <v>0</v>
      </c>
      <c r="M90" s="1" t="b">
        <f t="shared" si="4"/>
        <v>0</v>
      </c>
    </row>
    <row r="91" spans="1:13" ht="9.75" customHeight="1" x14ac:dyDescent="0.15">
      <c r="A91" s="16" t="s">
        <v>217</v>
      </c>
      <c r="B91" s="12" t="s">
        <v>284</v>
      </c>
      <c r="C91" s="12" t="s">
        <v>285</v>
      </c>
      <c r="D91" s="13">
        <v>40.136099999999999</v>
      </c>
      <c r="E91" s="13">
        <v>15.1675</v>
      </c>
      <c r="F91" s="12" t="s">
        <v>286</v>
      </c>
      <c r="G91" s="12" t="s">
        <v>287</v>
      </c>
      <c r="H91" s="14">
        <v>13442</v>
      </c>
      <c r="L91" s="1" t="b">
        <f t="shared" si="3"/>
        <v>0</v>
      </c>
      <c r="M91" s="1" t="b">
        <f t="shared" si="4"/>
        <v>0</v>
      </c>
    </row>
    <row r="92" spans="1:13" ht="9.75" customHeight="1" x14ac:dyDescent="0.15">
      <c r="A92" s="16" t="s">
        <v>217</v>
      </c>
      <c r="B92" s="12" t="s">
        <v>288</v>
      </c>
      <c r="C92" s="12" t="s">
        <v>289</v>
      </c>
      <c r="D92" s="13">
        <v>40.2742</v>
      </c>
      <c r="E92" s="13">
        <v>14.934100000000001</v>
      </c>
      <c r="F92" s="12" t="s">
        <v>290</v>
      </c>
      <c r="G92" s="12" t="s">
        <v>291</v>
      </c>
      <c r="H92" s="14">
        <v>18153</v>
      </c>
      <c r="L92" s="1" t="b">
        <f t="shared" si="3"/>
        <v>0</v>
      </c>
      <c r="M92" s="1" t="b">
        <f t="shared" si="4"/>
        <v>0</v>
      </c>
    </row>
    <row r="93" spans="1:13" ht="9.75" customHeight="1" x14ac:dyDescent="0.15">
      <c r="A93" s="16" t="s">
        <v>217</v>
      </c>
      <c r="B93" s="12" t="s">
        <v>292</v>
      </c>
      <c r="C93" s="12" t="s">
        <v>293</v>
      </c>
      <c r="D93" s="13">
        <v>40.081400000000002</v>
      </c>
      <c r="E93" s="13">
        <v>15.584099999999999</v>
      </c>
      <c r="F93" s="12" t="s">
        <v>294</v>
      </c>
      <c r="G93" s="12" t="s">
        <v>295</v>
      </c>
      <c r="H93" s="14">
        <v>11227</v>
      </c>
      <c r="L93" s="1" t="b">
        <f t="shared" si="3"/>
        <v>0</v>
      </c>
      <c r="M93" s="1" t="b">
        <f t="shared" si="4"/>
        <v>0</v>
      </c>
    </row>
    <row r="94" spans="1:13" ht="9.75" customHeight="1" x14ac:dyDescent="0.15">
      <c r="A94" s="16" t="s">
        <v>217</v>
      </c>
      <c r="B94" s="12" t="s">
        <v>296</v>
      </c>
      <c r="C94" s="12" t="s">
        <v>297</v>
      </c>
      <c r="D94" s="13">
        <v>40.634300000000003</v>
      </c>
      <c r="E94" s="13">
        <v>14.584099999999999</v>
      </c>
      <c r="F94" s="12" t="s">
        <v>298</v>
      </c>
      <c r="G94" s="12" t="s">
        <v>299</v>
      </c>
      <c r="H94" s="14">
        <v>9186</v>
      </c>
      <c r="L94" s="1" t="b">
        <f t="shared" si="3"/>
        <v>0</v>
      </c>
      <c r="M94" s="1" t="b">
        <f t="shared" si="4"/>
        <v>0</v>
      </c>
    </row>
    <row r="95" spans="1:13" ht="9.75" customHeight="1" x14ac:dyDescent="0.15">
      <c r="A95" s="16" t="s">
        <v>217</v>
      </c>
      <c r="B95" s="12" t="s">
        <v>300</v>
      </c>
      <c r="C95" s="12" t="s">
        <v>301</v>
      </c>
      <c r="D95" s="13">
        <v>40.6357</v>
      </c>
      <c r="E95" s="13">
        <v>14.6008</v>
      </c>
      <c r="F95" s="12" t="s">
        <v>273</v>
      </c>
      <c r="G95" s="12" t="s">
        <v>302</v>
      </c>
      <c r="H95" s="14">
        <v>5000</v>
      </c>
      <c r="L95" s="1" t="b">
        <f t="shared" si="3"/>
        <v>0</v>
      </c>
      <c r="M95" s="1" t="b">
        <f t="shared" si="4"/>
        <v>0</v>
      </c>
    </row>
    <row r="96" spans="1:13" ht="9.75" customHeight="1" x14ac:dyDescent="0.15">
      <c r="A96" s="16" t="s">
        <v>217</v>
      </c>
      <c r="B96" s="12" t="s">
        <v>303</v>
      </c>
      <c r="C96" s="12" t="s">
        <v>304</v>
      </c>
      <c r="D96" s="13">
        <v>40.647199999999998</v>
      </c>
      <c r="E96" s="13">
        <v>14.6341</v>
      </c>
      <c r="F96" s="12" t="s">
        <v>305</v>
      </c>
      <c r="G96" s="12" t="s">
        <v>306</v>
      </c>
      <c r="H96" s="14">
        <v>3712</v>
      </c>
      <c r="L96" s="1" t="b">
        <f t="shared" si="3"/>
        <v>0</v>
      </c>
      <c r="M96" s="1" t="b">
        <f t="shared" si="4"/>
        <v>0</v>
      </c>
    </row>
    <row r="97" spans="1:13" ht="9.75" customHeight="1" x14ac:dyDescent="0.15">
      <c r="A97" s="16" t="s">
        <v>217</v>
      </c>
      <c r="B97" s="12" t="s">
        <v>307</v>
      </c>
      <c r="C97" s="12" t="s">
        <v>308</v>
      </c>
      <c r="D97" s="13">
        <v>40.079000000000001</v>
      </c>
      <c r="E97" s="13">
        <v>15.567500000000001</v>
      </c>
      <c r="F97" s="12" t="s">
        <v>309</v>
      </c>
      <c r="G97" s="12" t="s">
        <v>310</v>
      </c>
      <c r="H97" s="14">
        <v>5550</v>
      </c>
      <c r="L97" s="1" t="b">
        <f t="shared" si="3"/>
        <v>0</v>
      </c>
      <c r="M97" s="1" t="b">
        <f t="shared" si="4"/>
        <v>0</v>
      </c>
    </row>
    <row r="98" spans="1:13" ht="9.75" customHeight="1" x14ac:dyDescent="0.15">
      <c r="A98" s="16" t="s">
        <v>217</v>
      </c>
      <c r="B98" s="12" t="s">
        <v>311</v>
      </c>
      <c r="C98" s="12" t="s">
        <v>312</v>
      </c>
      <c r="D98" s="13">
        <v>40.246299999999998</v>
      </c>
      <c r="E98" s="13">
        <v>14.9841</v>
      </c>
      <c r="F98" s="12" t="s">
        <v>280</v>
      </c>
      <c r="G98" s="12" t="s">
        <v>313</v>
      </c>
      <c r="H98" s="14">
        <v>1500</v>
      </c>
      <c r="L98" s="1" t="b">
        <f t="shared" si="3"/>
        <v>0</v>
      </c>
      <c r="M98" s="1" t="b">
        <f t="shared" si="4"/>
        <v>0</v>
      </c>
    </row>
    <row r="99" spans="1:13" ht="9.75" customHeight="1" x14ac:dyDescent="0.15">
      <c r="A99" s="16" t="s">
        <v>217</v>
      </c>
      <c r="B99" s="12" t="s">
        <v>314</v>
      </c>
      <c r="C99" s="12" t="s">
        <v>315</v>
      </c>
      <c r="D99" s="13">
        <v>40.108899999999998</v>
      </c>
      <c r="E99" s="13">
        <v>15.2341</v>
      </c>
      <c r="F99" s="12" t="s">
        <v>316</v>
      </c>
      <c r="G99" s="12" t="s">
        <v>317</v>
      </c>
      <c r="H99" s="14">
        <v>4374</v>
      </c>
      <c r="L99" s="1" t="b">
        <f t="shared" si="3"/>
        <v>0</v>
      </c>
      <c r="M99" s="1" t="b">
        <f t="shared" si="4"/>
        <v>0</v>
      </c>
    </row>
    <row r="100" spans="1:13" ht="9.75" customHeight="1" x14ac:dyDescent="0.15">
      <c r="A100" s="16" t="s">
        <v>217</v>
      </c>
      <c r="B100" s="12" t="s">
        <v>318</v>
      </c>
      <c r="C100" s="12" t="s">
        <v>315</v>
      </c>
      <c r="D100" s="13">
        <v>40.084200000000003</v>
      </c>
      <c r="E100" s="13">
        <v>15.2508</v>
      </c>
      <c r="F100" s="12" t="s">
        <v>319</v>
      </c>
      <c r="G100" s="12" t="s">
        <v>320</v>
      </c>
      <c r="H100" s="14">
        <v>1542</v>
      </c>
      <c r="L100" s="1" t="b">
        <f t="shared" si="3"/>
        <v>0</v>
      </c>
      <c r="M100" s="1" t="b">
        <f t="shared" si="4"/>
        <v>0</v>
      </c>
    </row>
    <row r="101" spans="1:13" ht="9.75" customHeight="1" x14ac:dyDescent="0.15">
      <c r="A101" s="16" t="s">
        <v>217</v>
      </c>
      <c r="B101" s="12" t="s">
        <v>321</v>
      </c>
      <c r="C101" s="12" t="s">
        <v>315</v>
      </c>
      <c r="D101" s="13">
        <v>40.1295</v>
      </c>
      <c r="E101" s="13">
        <v>15.2341</v>
      </c>
      <c r="F101" s="12" t="s">
        <v>322</v>
      </c>
      <c r="G101" s="12" t="s">
        <v>323</v>
      </c>
      <c r="H101" s="14">
        <v>1657</v>
      </c>
      <c r="L101" s="1" t="b">
        <f t="shared" si="3"/>
        <v>0</v>
      </c>
      <c r="M101" s="1" t="b">
        <f t="shared" si="4"/>
        <v>0</v>
      </c>
    </row>
    <row r="102" spans="1:13" ht="9.75" customHeight="1" x14ac:dyDescent="0.15">
      <c r="A102" s="16" t="s">
        <v>217</v>
      </c>
      <c r="B102" s="12" t="s">
        <v>324</v>
      </c>
      <c r="C102" s="12" t="s">
        <v>325</v>
      </c>
      <c r="D102" s="13">
        <v>40.630400000000002</v>
      </c>
      <c r="E102" s="13">
        <v>14.4841</v>
      </c>
      <c r="F102" s="12" t="s">
        <v>300</v>
      </c>
      <c r="G102" s="12" t="s">
        <v>326</v>
      </c>
      <c r="H102" s="14">
        <v>9903</v>
      </c>
      <c r="L102" s="1" t="b">
        <f t="shared" si="3"/>
        <v>0</v>
      </c>
      <c r="M102" s="1" t="b">
        <f t="shared" si="4"/>
        <v>0</v>
      </c>
    </row>
    <row r="103" spans="1:13" ht="9.75" customHeight="1" x14ac:dyDescent="0.15">
      <c r="A103" s="16" t="s">
        <v>217</v>
      </c>
      <c r="B103" s="12" t="s">
        <v>327</v>
      </c>
      <c r="C103" s="12" t="s">
        <v>328</v>
      </c>
      <c r="D103" s="13">
        <v>40.612099999999998</v>
      </c>
      <c r="E103" s="13">
        <v>14.5175</v>
      </c>
      <c r="F103" s="12" t="s">
        <v>329</v>
      </c>
      <c r="G103" s="12" t="s">
        <v>330</v>
      </c>
      <c r="H103" s="14">
        <v>1000</v>
      </c>
      <c r="L103" s="1" t="b">
        <f t="shared" si="3"/>
        <v>0</v>
      </c>
      <c r="M103" s="1" t="b">
        <f t="shared" si="4"/>
        <v>0</v>
      </c>
    </row>
    <row r="104" spans="1:13" ht="9.75" customHeight="1" x14ac:dyDescent="0.15">
      <c r="A104" s="16" t="s">
        <v>217</v>
      </c>
      <c r="B104" s="12" t="s">
        <v>331</v>
      </c>
      <c r="C104" s="12" t="s">
        <v>332</v>
      </c>
      <c r="D104" s="13">
        <v>40.610199999999999</v>
      </c>
      <c r="E104" s="13">
        <v>14.5175</v>
      </c>
      <c r="F104" s="12" t="s">
        <v>303</v>
      </c>
      <c r="G104" s="12" t="s">
        <v>333</v>
      </c>
      <c r="H104" s="14">
        <v>2220</v>
      </c>
      <c r="L104" s="1" t="b">
        <f t="shared" si="3"/>
        <v>0</v>
      </c>
      <c r="M104" s="1" t="b">
        <f t="shared" si="4"/>
        <v>0</v>
      </c>
    </row>
    <row r="105" spans="1:13" ht="9.75" customHeight="1" x14ac:dyDescent="0.15">
      <c r="A105" s="17" t="s">
        <v>334</v>
      </c>
      <c r="B105" s="12" t="s">
        <v>335</v>
      </c>
      <c r="C105" s="12" t="s">
        <v>336</v>
      </c>
      <c r="D105" s="13">
        <v>41.702300000000001</v>
      </c>
      <c r="E105" s="13">
        <v>16.667999999999999</v>
      </c>
      <c r="F105" s="12" t="s">
        <v>337</v>
      </c>
      <c r="G105" s="12" t="s">
        <v>338</v>
      </c>
      <c r="H105" s="14">
        <v>5937</v>
      </c>
      <c r="L105" s="1" t="b">
        <f t="shared" si="3"/>
        <v>0</v>
      </c>
      <c r="M105" s="1" t="b">
        <f t="shared" si="4"/>
        <v>0</v>
      </c>
    </row>
    <row r="106" spans="1:13" ht="9.75" customHeight="1" x14ac:dyDescent="0.15">
      <c r="A106" s="17" t="s">
        <v>334</v>
      </c>
      <c r="B106" s="12" t="s">
        <v>339</v>
      </c>
      <c r="C106" s="12" t="s">
        <v>336</v>
      </c>
      <c r="D106" s="13">
        <v>41.055250000000001</v>
      </c>
      <c r="E106" s="13">
        <v>17.109780000000001</v>
      </c>
      <c r="F106" s="12" t="s">
        <v>340</v>
      </c>
      <c r="G106" s="12" t="s">
        <v>341</v>
      </c>
      <c r="H106" s="14">
        <v>36325</v>
      </c>
      <c r="I106" s="3">
        <v>2</v>
      </c>
      <c r="L106" s="15">
        <f t="shared" si="3"/>
        <v>41.055250000000001</v>
      </c>
      <c r="M106" s="15">
        <f t="shared" si="4"/>
        <v>17.109780000000001</v>
      </c>
    </row>
    <row r="107" spans="1:13" ht="9.75" customHeight="1" x14ac:dyDescent="0.15">
      <c r="A107" s="17" t="s">
        <v>334</v>
      </c>
      <c r="B107" s="12" t="s">
        <v>342</v>
      </c>
      <c r="C107" s="12" t="s">
        <v>336</v>
      </c>
      <c r="D107" s="13">
        <v>40.167200000000001</v>
      </c>
      <c r="E107" s="13">
        <v>18.510300000000001</v>
      </c>
      <c r="F107" s="12" t="s">
        <v>343</v>
      </c>
      <c r="G107" s="12" t="s">
        <v>344</v>
      </c>
      <c r="H107" s="14">
        <v>8775</v>
      </c>
      <c r="L107" s="1" t="b">
        <f t="shared" si="3"/>
        <v>0</v>
      </c>
      <c r="M107" s="1" t="b">
        <f t="shared" si="4"/>
        <v>0</v>
      </c>
    </row>
    <row r="108" spans="1:13" ht="9.75" customHeight="1" x14ac:dyDescent="0.15">
      <c r="A108" s="17" t="s">
        <v>334</v>
      </c>
      <c r="B108" s="12" t="s">
        <v>345</v>
      </c>
      <c r="C108" s="12" t="s">
        <v>336</v>
      </c>
      <c r="D108" s="13">
        <v>40.167200000000001</v>
      </c>
      <c r="E108" s="13">
        <v>18.510300000000001</v>
      </c>
      <c r="F108" s="12" t="s">
        <v>346</v>
      </c>
      <c r="G108" s="12" t="s">
        <v>347</v>
      </c>
      <c r="H108" s="14">
        <v>9923</v>
      </c>
      <c r="L108" s="1" t="b">
        <f t="shared" si="3"/>
        <v>0</v>
      </c>
      <c r="M108" s="1" t="b">
        <f t="shared" si="4"/>
        <v>0</v>
      </c>
    </row>
    <row r="109" spans="1:13" ht="9.75" customHeight="1" x14ac:dyDescent="0.15">
      <c r="A109" s="17" t="s">
        <v>334</v>
      </c>
      <c r="B109" s="12" t="s">
        <v>348</v>
      </c>
      <c r="C109" s="12" t="s">
        <v>336</v>
      </c>
      <c r="D109" s="13">
        <v>42.1128</v>
      </c>
      <c r="E109" s="13">
        <v>15.4779</v>
      </c>
      <c r="F109" s="12" t="s">
        <v>349</v>
      </c>
      <c r="G109" s="12" t="s">
        <v>350</v>
      </c>
      <c r="H109" s="14">
        <v>1042</v>
      </c>
      <c r="L109" s="1" t="b">
        <f t="shared" si="3"/>
        <v>0</v>
      </c>
      <c r="M109" s="1" t="b">
        <f t="shared" si="4"/>
        <v>0</v>
      </c>
    </row>
    <row r="110" spans="1:13" ht="9.75" customHeight="1" x14ac:dyDescent="0.15">
      <c r="A110" s="17" t="s">
        <v>334</v>
      </c>
      <c r="B110" s="12" t="s">
        <v>351</v>
      </c>
      <c r="C110" s="12" t="s">
        <v>336</v>
      </c>
      <c r="D110" s="13">
        <v>41.382480000000001</v>
      </c>
      <c r="E110" s="13">
        <v>16.139330000000001</v>
      </c>
      <c r="F110" s="12" t="s">
        <v>352</v>
      </c>
      <c r="G110" s="12" t="s">
        <v>353</v>
      </c>
      <c r="H110" s="14">
        <v>19321</v>
      </c>
      <c r="L110" s="1" t="b">
        <f t="shared" si="3"/>
        <v>0</v>
      </c>
      <c r="M110" s="1" t="b">
        <f t="shared" si="4"/>
        <v>0</v>
      </c>
    </row>
    <row r="111" spans="1:13" ht="9.75" customHeight="1" x14ac:dyDescent="0.15">
      <c r="A111" s="17" t="s">
        <v>334</v>
      </c>
      <c r="B111" s="12" t="s">
        <v>354</v>
      </c>
      <c r="C111" s="12" t="s">
        <v>336</v>
      </c>
      <c r="D111" s="13">
        <v>41.948630000000001</v>
      </c>
      <c r="E111" s="13">
        <v>16.016680000000001</v>
      </c>
      <c r="F111" s="12" t="s">
        <v>355</v>
      </c>
      <c r="G111" s="12" t="s">
        <v>356</v>
      </c>
      <c r="H111" s="14">
        <v>5254</v>
      </c>
      <c r="L111" s="1" t="b">
        <f t="shared" si="3"/>
        <v>0</v>
      </c>
      <c r="M111" s="1" t="b">
        <f t="shared" si="4"/>
        <v>0</v>
      </c>
    </row>
    <row r="112" spans="1:13" ht="9.75" customHeight="1" x14ac:dyDescent="0.15">
      <c r="A112" s="17" t="s">
        <v>334</v>
      </c>
      <c r="B112" s="12" t="s">
        <v>357</v>
      </c>
      <c r="C112" s="12" t="s">
        <v>336</v>
      </c>
      <c r="D112" s="13">
        <v>41.927680000000002</v>
      </c>
      <c r="E112" s="13">
        <v>15.88974</v>
      </c>
      <c r="F112" s="12" t="s">
        <v>358</v>
      </c>
      <c r="G112" s="12" t="s">
        <v>359</v>
      </c>
      <c r="H112" s="14">
        <v>7658</v>
      </c>
      <c r="L112" s="1" t="b">
        <f t="shared" si="3"/>
        <v>0</v>
      </c>
      <c r="M112" s="1" t="b">
        <f t="shared" si="4"/>
        <v>0</v>
      </c>
    </row>
    <row r="113" spans="1:13" ht="9.75" customHeight="1" x14ac:dyDescent="0.15">
      <c r="A113" s="17" t="s">
        <v>334</v>
      </c>
      <c r="B113" s="12" t="s">
        <v>360</v>
      </c>
      <c r="C113" s="12" t="s">
        <v>361</v>
      </c>
      <c r="D113" s="13">
        <v>41.943040000000003</v>
      </c>
      <c r="E113" s="13">
        <v>15.829499999999999</v>
      </c>
      <c r="F113" s="12" t="s">
        <v>362</v>
      </c>
      <c r="G113" s="12" t="s">
        <v>363</v>
      </c>
      <c r="H113" s="14">
        <v>4661</v>
      </c>
      <c r="L113" s="1" t="b">
        <f t="shared" si="3"/>
        <v>0</v>
      </c>
      <c r="M113" s="1" t="b">
        <f t="shared" si="4"/>
        <v>0</v>
      </c>
    </row>
    <row r="114" spans="1:13" ht="9.75" customHeight="1" x14ac:dyDescent="0.15">
      <c r="A114" s="17" t="s">
        <v>334</v>
      </c>
      <c r="B114" s="12" t="s">
        <v>364</v>
      </c>
      <c r="C114" s="12" t="s">
        <v>336</v>
      </c>
      <c r="D114" s="13">
        <v>41.882919999999999</v>
      </c>
      <c r="E114" s="13">
        <v>16.186330000000002</v>
      </c>
      <c r="F114" s="12" t="s">
        <v>365</v>
      </c>
      <c r="G114" s="12" t="s">
        <v>366</v>
      </c>
      <c r="H114" s="14">
        <v>21202</v>
      </c>
      <c r="L114" s="1" t="b">
        <f t="shared" si="3"/>
        <v>0</v>
      </c>
      <c r="M114" s="1" t="b">
        <f t="shared" si="4"/>
        <v>0</v>
      </c>
    </row>
    <row r="115" spans="1:13" ht="9.75" customHeight="1" x14ac:dyDescent="0.15">
      <c r="A115" s="17" t="s">
        <v>334</v>
      </c>
      <c r="B115" s="12" t="s">
        <v>367</v>
      </c>
      <c r="C115" s="12" t="s">
        <v>336</v>
      </c>
      <c r="D115" s="13">
        <v>41.113190000000003</v>
      </c>
      <c r="E115" s="13">
        <v>16.93207</v>
      </c>
      <c r="F115" s="12" t="s">
        <v>368</v>
      </c>
      <c r="G115" s="12" t="s">
        <v>369</v>
      </c>
      <c r="H115" s="14">
        <v>528689</v>
      </c>
      <c r="I115" s="3">
        <v>2</v>
      </c>
      <c r="L115" s="15">
        <f t="shared" si="3"/>
        <v>41.113190000000003</v>
      </c>
      <c r="M115" s="15">
        <f t="shared" si="4"/>
        <v>16.93207</v>
      </c>
    </row>
    <row r="116" spans="1:13" ht="9.75" customHeight="1" x14ac:dyDescent="0.15">
      <c r="A116" s="17" t="s">
        <v>334</v>
      </c>
      <c r="B116" s="12" t="s">
        <v>370</v>
      </c>
      <c r="C116" s="12" t="s">
        <v>336</v>
      </c>
      <c r="D116" s="13">
        <v>41.149340000000002</v>
      </c>
      <c r="E116" s="13">
        <v>16.81691</v>
      </c>
      <c r="F116" s="12" t="s">
        <v>371</v>
      </c>
      <c r="G116" s="12" t="s">
        <v>372</v>
      </c>
      <c r="H116" s="14">
        <v>288294</v>
      </c>
      <c r="I116" s="3">
        <v>2</v>
      </c>
      <c r="L116" s="15">
        <f t="shared" si="3"/>
        <v>41.149340000000002</v>
      </c>
      <c r="M116" s="15">
        <f t="shared" si="4"/>
        <v>16.81691</v>
      </c>
    </row>
    <row r="117" spans="1:13" ht="9.75" customHeight="1" x14ac:dyDescent="0.15">
      <c r="A117" s="17" t="s">
        <v>334</v>
      </c>
      <c r="B117" s="12" t="s">
        <v>373</v>
      </c>
      <c r="C117" s="12" t="s">
        <v>336</v>
      </c>
      <c r="D117" s="13">
        <v>41.348410000000001</v>
      </c>
      <c r="E117" s="13">
        <v>16.266829999999999</v>
      </c>
      <c r="F117" s="12" t="s">
        <v>374</v>
      </c>
      <c r="G117" s="12" t="s">
        <v>375</v>
      </c>
      <c r="H117" s="14">
        <v>151504</v>
      </c>
      <c r="I117" s="3">
        <v>2</v>
      </c>
      <c r="L117" s="15">
        <f t="shared" si="3"/>
        <v>41.348410000000001</v>
      </c>
      <c r="M117" s="15">
        <f t="shared" si="4"/>
        <v>16.266829999999999</v>
      </c>
    </row>
    <row r="118" spans="1:13" ht="9.75" customHeight="1" x14ac:dyDescent="0.15">
      <c r="A118" s="17" t="s">
        <v>334</v>
      </c>
      <c r="B118" s="12" t="s">
        <v>376</v>
      </c>
      <c r="C118" s="12" t="s">
        <v>361</v>
      </c>
      <c r="D118" s="13">
        <v>41.242080000000001</v>
      </c>
      <c r="E118" s="13">
        <v>16.52176</v>
      </c>
      <c r="F118" s="12" t="s">
        <v>377</v>
      </c>
      <c r="G118" s="12" t="s">
        <v>378</v>
      </c>
      <c r="H118" s="14">
        <v>82177</v>
      </c>
      <c r="L118" s="1" t="b">
        <f t="shared" si="3"/>
        <v>0</v>
      </c>
      <c r="M118" s="1" t="b">
        <f t="shared" si="4"/>
        <v>0</v>
      </c>
    </row>
    <row r="119" spans="1:13" ht="9.75" customHeight="1" x14ac:dyDescent="0.15">
      <c r="A119" s="17" t="s">
        <v>334</v>
      </c>
      <c r="B119" s="12" t="s">
        <v>379</v>
      </c>
      <c r="C119" s="12" t="s">
        <v>336</v>
      </c>
      <c r="D119" s="13">
        <v>41.104100000000003</v>
      </c>
      <c r="E119" s="13">
        <v>16.7075</v>
      </c>
      <c r="F119" s="12" t="s">
        <v>380</v>
      </c>
      <c r="G119" s="12" t="s">
        <v>381</v>
      </c>
      <c r="H119" s="14">
        <v>95142</v>
      </c>
      <c r="I119" s="3">
        <v>2</v>
      </c>
      <c r="L119" s="15">
        <f t="shared" si="3"/>
        <v>41.104100000000003</v>
      </c>
      <c r="M119" s="15">
        <f t="shared" si="4"/>
        <v>16.7075</v>
      </c>
    </row>
    <row r="120" spans="1:13" ht="9.75" customHeight="1" x14ac:dyDescent="0.15">
      <c r="A120" s="17" t="s">
        <v>334</v>
      </c>
      <c r="B120" s="12" t="s">
        <v>382</v>
      </c>
      <c r="C120" s="12" t="s">
        <v>361</v>
      </c>
      <c r="D120" s="13">
        <v>41.17313</v>
      </c>
      <c r="E120" s="13">
        <v>16.696739999999998</v>
      </c>
      <c r="F120" s="12" t="s">
        <v>383</v>
      </c>
      <c r="G120" s="12" t="s">
        <v>384</v>
      </c>
      <c r="H120" s="14">
        <v>30026</v>
      </c>
      <c r="L120" s="1" t="b">
        <f t="shared" si="3"/>
        <v>0</v>
      </c>
      <c r="M120" s="1" t="b">
        <f t="shared" si="4"/>
        <v>0</v>
      </c>
    </row>
    <row r="121" spans="1:13" ht="9.75" customHeight="1" x14ac:dyDescent="0.15">
      <c r="A121" s="17" t="s">
        <v>334</v>
      </c>
      <c r="B121" s="12" t="s">
        <v>385</v>
      </c>
      <c r="C121" s="12" t="s">
        <v>336</v>
      </c>
      <c r="D121" s="13">
        <v>41.065800000000003</v>
      </c>
      <c r="E121" s="13">
        <v>17.118210000000001</v>
      </c>
      <c r="F121" s="12" t="s">
        <v>386</v>
      </c>
      <c r="G121" s="12" t="s">
        <v>387</v>
      </c>
      <c r="H121" s="14">
        <v>23377</v>
      </c>
      <c r="L121" s="1" t="b">
        <f t="shared" si="3"/>
        <v>0</v>
      </c>
      <c r="M121" s="1" t="b">
        <f t="shared" si="4"/>
        <v>0</v>
      </c>
    </row>
    <row r="122" spans="1:13" ht="9.75" customHeight="1" x14ac:dyDescent="0.15">
      <c r="A122" s="17" t="s">
        <v>334</v>
      </c>
      <c r="B122" s="12" t="s">
        <v>388</v>
      </c>
      <c r="C122" s="12" t="s">
        <v>361</v>
      </c>
      <c r="D122" s="13">
        <v>41.221989999999998</v>
      </c>
      <c r="E122" s="13">
        <v>16.563320000000001</v>
      </c>
      <c r="F122" s="12" t="s">
        <v>389</v>
      </c>
      <c r="G122" s="12" t="s">
        <v>390</v>
      </c>
      <c r="H122" s="14">
        <v>51225</v>
      </c>
      <c r="L122" s="1" t="b">
        <f t="shared" si="3"/>
        <v>0</v>
      </c>
      <c r="M122" s="1" t="b">
        <f t="shared" si="4"/>
        <v>0</v>
      </c>
    </row>
    <row r="123" spans="1:13" ht="9.75" customHeight="1" x14ac:dyDescent="0.15">
      <c r="A123" s="17" t="s">
        <v>334</v>
      </c>
      <c r="B123" s="12" t="s">
        <v>391</v>
      </c>
      <c r="C123" s="12" t="s">
        <v>361</v>
      </c>
      <c r="D123" s="13">
        <v>40.967440000000003</v>
      </c>
      <c r="E123" s="13">
        <v>17.28576</v>
      </c>
      <c r="F123" s="12" t="s">
        <v>392</v>
      </c>
      <c r="G123" s="12" t="s">
        <v>393</v>
      </c>
      <c r="H123" s="14">
        <v>66267</v>
      </c>
      <c r="L123" s="1" t="b">
        <f t="shared" si="3"/>
        <v>0</v>
      </c>
      <c r="M123" s="1" t="b">
        <f t="shared" si="4"/>
        <v>0</v>
      </c>
    </row>
    <row r="124" spans="1:13" ht="9.75" customHeight="1" x14ac:dyDescent="0.15">
      <c r="A124" s="17" t="s">
        <v>334</v>
      </c>
      <c r="B124" s="12" t="s">
        <v>394</v>
      </c>
      <c r="C124" s="12" t="s">
        <v>336</v>
      </c>
      <c r="D124" s="13">
        <v>40.992919999999998</v>
      </c>
      <c r="E124" s="13">
        <v>17.230219999999999</v>
      </c>
      <c r="F124" s="12" t="s">
        <v>395</v>
      </c>
      <c r="G124" s="12" t="s">
        <v>396</v>
      </c>
      <c r="H124" s="14">
        <v>20132</v>
      </c>
      <c r="L124" s="1" t="b">
        <f t="shared" si="3"/>
        <v>0</v>
      </c>
      <c r="M124" s="1" t="b">
        <f t="shared" si="4"/>
        <v>0</v>
      </c>
    </row>
    <row r="125" spans="1:13" ht="9.75" customHeight="1" x14ac:dyDescent="0.15">
      <c r="A125" s="17" t="s">
        <v>334</v>
      </c>
      <c r="B125" s="12" t="s">
        <v>397</v>
      </c>
      <c r="C125" s="12" t="s">
        <v>398</v>
      </c>
      <c r="D125" s="13">
        <v>41.283149999999999</v>
      </c>
      <c r="E125" s="13">
        <v>16.408110000000001</v>
      </c>
      <c r="F125" s="12" t="s">
        <v>399</v>
      </c>
      <c r="G125" s="12" t="s">
        <v>400</v>
      </c>
      <c r="H125" s="14">
        <v>57207</v>
      </c>
      <c r="L125" s="1" t="b">
        <f t="shared" si="3"/>
        <v>0</v>
      </c>
      <c r="M125" s="1" t="b">
        <f t="shared" si="4"/>
        <v>0</v>
      </c>
    </row>
    <row r="126" spans="1:13" ht="9.75" customHeight="1" x14ac:dyDescent="0.15">
      <c r="A126" s="17" t="s">
        <v>334</v>
      </c>
      <c r="B126" s="12" t="s">
        <v>401</v>
      </c>
      <c r="C126" s="12" t="s">
        <v>402</v>
      </c>
      <c r="D126" s="13">
        <v>40.497729999999997</v>
      </c>
      <c r="E126" s="13">
        <v>17.18187</v>
      </c>
      <c r="F126" s="12" t="s">
        <v>403</v>
      </c>
      <c r="G126" s="12" t="s">
        <v>404</v>
      </c>
      <c r="H126" s="14">
        <v>51080</v>
      </c>
      <c r="L126" s="1" t="b">
        <f t="shared" si="3"/>
        <v>0</v>
      </c>
      <c r="M126" s="1" t="b">
        <f t="shared" si="4"/>
        <v>0</v>
      </c>
    </row>
    <row r="127" spans="1:13" ht="9.75" customHeight="1" x14ac:dyDescent="0.15">
      <c r="A127" s="17" t="s">
        <v>334</v>
      </c>
      <c r="B127" s="12" t="s">
        <v>405</v>
      </c>
      <c r="C127" s="12" t="s">
        <v>406</v>
      </c>
      <c r="D127" s="13">
        <v>40.4328</v>
      </c>
      <c r="E127" s="13">
        <v>17.244599999999998</v>
      </c>
      <c r="F127" s="12" t="s">
        <v>407</v>
      </c>
      <c r="G127" s="12" t="s">
        <v>408</v>
      </c>
      <c r="H127" s="14">
        <v>166583</v>
      </c>
      <c r="I127" s="3">
        <v>2</v>
      </c>
      <c r="L127" s="15">
        <f t="shared" si="3"/>
        <v>40.4328</v>
      </c>
      <c r="M127" s="15">
        <f t="shared" si="4"/>
        <v>17.244599999999998</v>
      </c>
    </row>
    <row r="128" spans="1:13" ht="9.75" customHeight="1" x14ac:dyDescent="0.15">
      <c r="A128" s="17" t="s">
        <v>334</v>
      </c>
      <c r="B128" s="12" t="s">
        <v>409</v>
      </c>
      <c r="C128" s="12" t="s">
        <v>410</v>
      </c>
      <c r="D128" s="13">
        <v>40.849939999999997</v>
      </c>
      <c r="E128" s="13">
        <v>17.427409999999998</v>
      </c>
      <c r="F128" s="12" t="s">
        <v>411</v>
      </c>
      <c r="G128" s="12" t="s">
        <v>412</v>
      </c>
      <c r="H128" s="14">
        <v>35139</v>
      </c>
      <c r="L128" s="1" t="b">
        <f t="shared" si="3"/>
        <v>0</v>
      </c>
      <c r="M128" s="1" t="b">
        <f t="shared" si="4"/>
        <v>0</v>
      </c>
    </row>
    <row r="129" spans="1:13" ht="9.75" customHeight="1" x14ac:dyDescent="0.15">
      <c r="A129" s="17" t="s">
        <v>334</v>
      </c>
      <c r="B129" s="12" t="s">
        <v>413</v>
      </c>
      <c r="C129" s="12" t="s">
        <v>402</v>
      </c>
      <c r="D129" s="13">
        <v>40.067889999999998</v>
      </c>
      <c r="E129" s="13">
        <v>18.002050000000001</v>
      </c>
      <c r="F129" s="12" t="s">
        <v>414</v>
      </c>
      <c r="G129" s="12" t="s">
        <v>415</v>
      </c>
      <c r="H129" s="14">
        <v>52921</v>
      </c>
      <c r="L129" s="1" t="b">
        <f t="shared" si="3"/>
        <v>0</v>
      </c>
      <c r="M129" s="1" t="b">
        <f t="shared" si="4"/>
        <v>0</v>
      </c>
    </row>
    <row r="130" spans="1:13" ht="9.75" customHeight="1" x14ac:dyDescent="0.15">
      <c r="A130" s="17" t="s">
        <v>334</v>
      </c>
      <c r="B130" s="12" t="s">
        <v>416</v>
      </c>
      <c r="C130" s="12" t="s">
        <v>336</v>
      </c>
      <c r="D130" s="13">
        <v>40.372729999999997</v>
      </c>
      <c r="E130" s="13">
        <v>18.316079999999999</v>
      </c>
      <c r="F130" s="12" t="s">
        <v>417</v>
      </c>
      <c r="G130" s="12" t="s">
        <v>418</v>
      </c>
      <c r="H130" s="14">
        <v>121299</v>
      </c>
      <c r="I130" s="3">
        <v>2</v>
      </c>
      <c r="L130" s="15">
        <f t="shared" ref="L130:L193" si="5">IF(I130&gt;0,D130)</f>
        <v>40.372729999999997</v>
      </c>
      <c r="M130" s="15">
        <f t="shared" ref="M130:M193" si="6">IF(I130&gt;0,E130)</f>
        <v>18.316079999999999</v>
      </c>
    </row>
    <row r="131" spans="1:13" ht="9.75" customHeight="1" x14ac:dyDescent="0.15">
      <c r="A131" s="17" t="s">
        <v>334</v>
      </c>
      <c r="B131" s="12" t="s">
        <v>419</v>
      </c>
      <c r="C131" s="12" t="s">
        <v>420</v>
      </c>
      <c r="D131" s="13">
        <v>40.184429999999999</v>
      </c>
      <c r="E131" s="13">
        <v>17.925129999999999</v>
      </c>
      <c r="F131" s="12" t="s">
        <v>421</v>
      </c>
      <c r="G131" s="12" t="s">
        <v>422</v>
      </c>
      <c r="H131" s="14">
        <v>21653</v>
      </c>
      <c r="L131" s="1" t="b">
        <f t="shared" si="5"/>
        <v>0</v>
      </c>
      <c r="M131" s="1" t="b">
        <f t="shared" si="6"/>
        <v>0</v>
      </c>
    </row>
    <row r="132" spans="1:13" ht="9.75" customHeight="1" x14ac:dyDescent="0.15">
      <c r="A132" s="17" t="s">
        <v>334</v>
      </c>
      <c r="B132" s="12" t="s">
        <v>423</v>
      </c>
      <c r="C132" s="12" t="s">
        <v>336</v>
      </c>
      <c r="D132" s="13">
        <v>40.053260000000002</v>
      </c>
      <c r="E132" s="13">
        <v>18.4678</v>
      </c>
      <c r="F132" s="12" t="s">
        <v>424</v>
      </c>
      <c r="G132" s="12" t="s">
        <v>425</v>
      </c>
      <c r="H132" s="14">
        <v>3398</v>
      </c>
      <c r="L132" s="1" t="b">
        <f t="shared" si="5"/>
        <v>0</v>
      </c>
      <c r="M132" s="1" t="b">
        <f t="shared" si="6"/>
        <v>0</v>
      </c>
    </row>
    <row r="133" spans="1:13" ht="9.75" customHeight="1" x14ac:dyDescent="0.15">
      <c r="A133" s="16" t="s">
        <v>426</v>
      </c>
      <c r="B133" s="12" t="s">
        <v>427</v>
      </c>
      <c r="C133" s="12" t="s">
        <v>428</v>
      </c>
      <c r="D133" s="13">
        <v>39.105589999999999</v>
      </c>
      <c r="E133" s="13">
        <v>17.10548</v>
      </c>
      <c r="F133" s="12" t="s">
        <v>427</v>
      </c>
      <c r="G133" s="12" t="s">
        <v>428</v>
      </c>
      <c r="H133" s="14">
        <v>20645</v>
      </c>
      <c r="L133" s="1" t="b">
        <f t="shared" si="5"/>
        <v>0</v>
      </c>
      <c r="M133" s="1" t="b">
        <f t="shared" si="6"/>
        <v>0</v>
      </c>
    </row>
    <row r="134" spans="1:13" ht="9.75" customHeight="1" x14ac:dyDescent="0.15">
      <c r="A134" s="16" t="s">
        <v>426</v>
      </c>
      <c r="B134" s="12" t="s">
        <v>429</v>
      </c>
      <c r="C134" s="12" t="s">
        <v>430</v>
      </c>
      <c r="D134" s="13">
        <v>39.611240000000002</v>
      </c>
      <c r="E134" s="13">
        <v>16.855370000000001</v>
      </c>
      <c r="F134" s="12" t="s">
        <v>429</v>
      </c>
      <c r="G134" s="12" t="s">
        <v>430</v>
      </c>
      <c r="H134" s="14">
        <v>37293</v>
      </c>
      <c r="L134" s="1" t="b">
        <f t="shared" si="5"/>
        <v>0</v>
      </c>
      <c r="M134" s="1" t="b">
        <f t="shared" si="6"/>
        <v>0</v>
      </c>
    </row>
    <row r="135" spans="1:13" ht="9.75" customHeight="1" x14ac:dyDescent="0.15">
      <c r="A135" s="16" t="s">
        <v>426</v>
      </c>
      <c r="B135" s="12" t="s">
        <v>431</v>
      </c>
      <c r="C135" s="12" t="s">
        <v>432</v>
      </c>
      <c r="D135" s="13">
        <v>39.566339999999997</v>
      </c>
      <c r="E135" s="13">
        <v>15.87196</v>
      </c>
      <c r="F135" s="12" t="s">
        <v>431</v>
      </c>
      <c r="G135" s="12" t="s">
        <v>432</v>
      </c>
      <c r="H135" s="14">
        <v>19500</v>
      </c>
      <c r="L135" s="1" t="b">
        <f t="shared" si="5"/>
        <v>0</v>
      </c>
      <c r="M135" s="1" t="b">
        <f t="shared" si="6"/>
        <v>0</v>
      </c>
    </row>
    <row r="136" spans="1:13" ht="9.75" customHeight="1" x14ac:dyDescent="0.15">
      <c r="A136" s="16" t="s">
        <v>426</v>
      </c>
      <c r="B136" s="12" t="s">
        <v>433</v>
      </c>
      <c r="C136" s="12" t="s">
        <v>434</v>
      </c>
      <c r="D136" s="13">
        <v>39.722529999999999</v>
      </c>
      <c r="E136" s="13">
        <v>16.511520000000001</v>
      </c>
      <c r="F136" s="12" t="s">
        <v>435</v>
      </c>
      <c r="G136" s="12" t="s">
        <v>436</v>
      </c>
      <c r="H136" s="14">
        <v>5000</v>
      </c>
      <c r="L136" s="1" t="b">
        <f t="shared" si="5"/>
        <v>0</v>
      </c>
      <c r="M136" s="1" t="b">
        <f t="shared" si="6"/>
        <v>0</v>
      </c>
    </row>
    <row r="137" spans="1:13" ht="9.75" customHeight="1" x14ac:dyDescent="0.15">
      <c r="A137" s="16" t="s">
        <v>426</v>
      </c>
      <c r="B137" s="12" t="s">
        <v>437</v>
      </c>
      <c r="C137" s="12" t="s">
        <v>438</v>
      </c>
      <c r="D137" s="13">
        <v>39.519919999999999</v>
      </c>
      <c r="E137" s="13">
        <v>15.93506</v>
      </c>
      <c r="F137" s="12" t="s">
        <v>439</v>
      </c>
      <c r="G137" s="12" t="s">
        <v>438</v>
      </c>
      <c r="H137" s="14">
        <v>9200</v>
      </c>
      <c r="L137" s="1" t="b">
        <f t="shared" si="5"/>
        <v>0</v>
      </c>
      <c r="M137" s="1" t="b">
        <f t="shared" si="6"/>
        <v>0</v>
      </c>
    </row>
    <row r="138" spans="1:13" ht="9.75" customHeight="1" x14ac:dyDescent="0.15">
      <c r="A138" s="16" t="s">
        <v>426</v>
      </c>
      <c r="B138" s="12" t="s">
        <v>440</v>
      </c>
      <c r="C138" s="12" t="s">
        <v>441</v>
      </c>
      <c r="D138" s="13">
        <v>39.80359</v>
      </c>
      <c r="E138" s="13">
        <v>16.40663</v>
      </c>
      <c r="F138" s="12" t="s">
        <v>442</v>
      </c>
      <c r="G138" s="12" t="s">
        <v>441</v>
      </c>
      <c r="H138" s="14">
        <v>17000</v>
      </c>
      <c r="L138" s="1" t="b">
        <f t="shared" si="5"/>
        <v>0</v>
      </c>
      <c r="M138" s="1" t="b">
        <f t="shared" si="6"/>
        <v>0</v>
      </c>
    </row>
    <row r="139" spans="1:13" ht="9.75" customHeight="1" x14ac:dyDescent="0.15">
      <c r="A139" s="16" t="s">
        <v>426</v>
      </c>
      <c r="B139" s="12" t="s">
        <v>443</v>
      </c>
      <c r="C139" s="12" t="s">
        <v>444</v>
      </c>
      <c r="D139" s="13">
        <v>39.275080000000003</v>
      </c>
      <c r="E139" s="13">
        <v>16.093920000000001</v>
      </c>
      <c r="F139" s="12" t="s">
        <v>445</v>
      </c>
      <c r="G139" s="12" t="s">
        <v>446</v>
      </c>
      <c r="H139" s="14">
        <v>15498</v>
      </c>
      <c r="L139" s="1" t="b">
        <f t="shared" si="5"/>
        <v>0</v>
      </c>
      <c r="M139" s="1" t="b">
        <f t="shared" si="6"/>
        <v>0</v>
      </c>
    </row>
    <row r="140" spans="1:13" ht="9.75" customHeight="1" x14ac:dyDescent="0.15">
      <c r="A140" s="16" t="s">
        <v>426</v>
      </c>
      <c r="B140" s="12" t="s">
        <v>447</v>
      </c>
      <c r="C140" s="12" t="s">
        <v>448</v>
      </c>
      <c r="D140" s="13">
        <v>39.239460000000001</v>
      </c>
      <c r="E140" s="13">
        <v>16.098659999999999</v>
      </c>
      <c r="F140" s="12" t="s">
        <v>449</v>
      </c>
      <c r="G140" s="12" t="s">
        <v>450</v>
      </c>
      <c r="H140" s="14">
        <v>27446</v>
      </c>
      <c r="L140" s="1" t="b">
        <f t="shared" si="5"/>
        <v>0</v>
      </c>
      <c r="M140" s="1" t="b">
        <f t="shared" si="6"/>
        <v>0</v>
      </c>
    </row>
    <row r="141" spans="1:13" ht="9.75" customHeight="1" x14ac:dyDescent="0.15">
      <c r="A141" s="16" t="s">
        <v>426</v>
      </c>
      <c r="B141" s="12" t="s">
        <v>451</v>
      </c>
      <c r="C141" s="12" t="s">
        <v>452</v>
      </c>
      <c r="D141" s="13">
        <v>39.805259999999997</v>
      </c>
      <c r="E141" s="13">
        <v>16.407319999999999</v>
      </c>
      <c r="F141" s="12" t="s">
        <v>453</v>
      </c>
      <c r="G141" s="12" t="s">
        <v>454</v>
      </c>
      <c r="H141" s="14">
        <v>3405</v>
      </c>
      <c r="L141" s="1" t="b">
        <f t="shared" si="5"/>
        <v>0</v>
      </c>
      <c r="M141" s="1" t="b">
        <f t="shared" si="6"/>
        <v>0</v>
      </c>
    </row>
    <row r="142" spans="1:13" ht="9.75" customHeight="1" x14ac:dyDescent="0.15">
      <c r="A142" s="16" t="s">
        <v>426</v>
      </c>
      <c r="B142" s="12" t="s">
        <v>455</v>
      </c>
      <c r="C142" s="12" t="s">
        <v>456</v>
      </c>
      <c r="D142" s="13">
        <v>39.907350000000001</v>
      </c>
      <c r="E142" s="13">
        <v>15.77121</v>
      </c>
      <c r="F142" s="12" t="s">
        <v>457</v>
      </c>
      <c r="G142" s="12" t="s">
        <v>456</v>
      </c>
      <c r="H142" s="14">
        <v>38703</v>
      </c>
      <c r="L142" s="1" t="b">
        <f t="shared" si="5"/>
        <v>0</v>
      </c>
      <c r="M142" s="1" t="b">
        <f t="shared" si="6"/>
        <v>0</v>
      </c>
    </row>
    <row r="143" spans="1:13" ht="9.75" customHeight="1" x14ac:dyDescent="0.15">
      <c r="A143" s="16" t="s">
        <v>426</v>
      </c>
      <c r="B143" s="12" t="s">
        <v>458</v>
      </c>
      <c r="C143" s="12" t="s">
        <v>459</v>
      </c>
      <c r="D143" s="13">
        <v>39.618070000000003</v>
      </c>
      <c r="E143" s="13">
        <v>16.63524</v>
      </c>
      <c r="F143" s="12" t="s">
        <v>460</v>
      </c>
      <c r="G143" s="12" t="s">
        <v>459</v>
      </c>
      <c r="H143" s="14">
        <v>7980</v>
      </c>
      <c r="L143" s="1" t="b">
        <f t="shared" si="5"/>
        <v>0</v>
      </c>
      <c r="M143" s="1" t="b">
        <f t="shared" si="6"/>
        <v>0</v>
      </c>
    </row>
    <row r="144" spans="1:13" ht="9.75" customHeight="1" x14ac:dyDescent="0.15">
      <c r="A144" s="16" t="s">
        <v>426</v>
      </c>
      <c r="B144" s="12" t="s">
        <v>461</v>
      </c>
      <c r="C144" s="12" t="s">
        <v>462</v>
      </c>
      <c r="D144" s="13">
        <v>39.850990000000003</v>
      </c>
      <c r="E144" s="13">
        <v>15.798159999999999</v>
      </c>
      <c r="F144" s="12" t="s">
        <v>463</v>
      </c>
      <c r="G144" s="12" t="s">
        <v>464</v>
      </c>
      <c r="H144" s="14">
        <v>7000</v>
      </c>
      <c r="L144" s="1" t="b">
        <f t="shared" si="5"/>
        <v>0</v>
      </c>
      <c r="M144" s="1" t="b">
        <f t="shared" si="6"/>
        <v>0</v>
      </c>
    </row>
    <row r="145" spans="1:13" ht="9.75" customHeight="1" x14ac:dyDescent="0.15">
      <c r="A145" s="16" t="s">
        <v>426</v>
      </c>
      <c r="B145" s="12" t="s">
        <v>465</v>
      </c>
      <c r="C145" s="12" t="s">
        <v>466</v>
      </c>
      <c r="D145" s="13">
        <v>39.753579999999999</v>
      </c>
      <c r="E145" s="13">
        <v>15.78496</v>
      </c>
      <c r="F145" s="12" t="s">
        <v>467</v>
      </c>
      <c r="G145" s="12" t="s">
        <v>468</v>
      </c>
      <c r="H145" s="14">
        <v>47500</v>
      </c>
      <c r="I145" s="3">
        <v>3</v>
      </c>
      <c r="L145" s="15">
        <f t="shared" si="5"/>
        <v>39.753579999999999</v>
      </c>
      <c r="M145" s="15">
        <f t="shared" si="6"/>
        <v>15.78496</v>
      </c>
    </row>
    <row r="146" spans="1:13" ht="9.75" customHeight="1" x14ac:dyDescent="0.15">
      <c r="A146" s="16" t="s">
        <v>426</v>
      </c>
      <c r="B146" s="12" t="s">
        <v>469</v>
      </c>
      <c r="C146" s="12" t="s">
        <v>470</v>
      </c>
      <c r="D146" s="13">
        <v>39.723739999999999</v>
      </c>
      <c r="E146" s="13">
        <v>15.8187</v>
      </c>
      <c r="F146" s="12" t="s">
        <v>471</v>
      </c>
      <c r="G146" s="12" t="s">
        <v>470</v>
      </c>
      <c r="H146" s="14">
        <v>50000</v>
      </c>
      <c r="I146" s="3">
        <v>3</v>
      </c>
      <c r="L146" s="15">
        <f t="shared" si="5"/>
        <v>39.723739999999999</v>
      </c>
      <c r="M146" s="15">
        <f t="shared" si="6"/>
        <v>15.8187</v>
      </c>
    </row>
    <row r="147" spans="1:13" ht="9.75" customHeight="1" x14ac:dyDescent="0.15">
      <c r="A147" s="16" t="s">
        <v>426</v>
      </c>
      <c r="B147" s="12" t="s">
        <v>472</v>
      </c>
      <c r="C147" s="12" t="s">
        <v>473</v>
      </c>
      <c r="D147" s="13">
        <v>39.668259999999997</v>
      </c>
      <c r="E147" s="13">
        <v>16.833459999999999</v>
      </c>
      <c r="F147" s="12" t="s">
        <v>474</v>
      </c>
      <c r="G147" s="12" t="s">
        <v>473</v>
      </c>
      <c r="H147" s="14">
        <v>20000</v>
      </c>
      <c r="L147" s="1" t="b">
        <f t="shared" si="5"/>
        <v>0</v>
      </c>
      <c r="M147" s="1" t="b">
        <f t="shared" si="6"/>
        <v>0</v>
      </c>
    </row>
    <row r="148" spans="1:13" ht="9.75" customHeight="1" x14ac:dyDescent="0.15">
      <c r="A148" s="16" t="s">
        <v>426</v>
      </c>
      <c r="B148" s="12" t="s">
        <v>475</v>
      </c>
      <c r="C148" s="12" t="s">
        <v>476</v>
      </c>
      <c r="D148" s="13">
        <v>39.798430000000003</v>
      </c>
      <c r="E148" s="13">
        <v>15.77332</v>
      </c>
      <c r="F148" s="12" t="s">
        <v>477</v>
      </c>
      <c r="G148" s="12" t="s">
        <v>476</v>
      </c>
      <c r="H148" s="14">
        <v>86787</v>
      </c>
      <c r="I148" s="3">
        <v>3</v>
      </c>
      <c r="L148" s="15">
        <f t="shared" si="5"/>
        <v>39.798430000000003</v>
      </c>
      <c r="M148" s="15">
        <f t="shared" si="6"/>
        <v>15.77332</v>
      </c>
    </row>
    <row r="149" spans="1:13" ht="9.75" customHeight="1" x14ac:dyDescent="0.15">
      <c r="A149" s="16" t="s">
        <v>426</v>
      </c>
      <c r="B149" s="12" t="s">
        <v>478</v>
      </c>
      <c r="C149" s="12" t="s">
        <v>479</v>
      </c>
      <c r="D149" s="13">
        <v>39.913760000000003</v>
      </c>
      <c r="E149" s="13">
        <v>15.47733</v>
      </c>
      <c r="F149" s="12" t="s">
        <v>480</v>
      </c>
      <c r="G149" s="12" t="s">
        <v>479</v>
      </c>
      <c r="H149" s="14">
        <v>25140</v>
      </c>
      <c r="L149" s="1" t="b">
        <f t="shared" si="5"/>
        <v>0</v>
      </c>
      <c r="M149" s="1" t="b">
        <f t="shared" si="6"/>
        <v>0</v>
      </c>
    </row>
    <row r="150" spans="1:13" ht="9.75" customHeight="1" x14ac:dyDescent="0.15">
      <c r="A150" s="16" t="s">
        <v>426</v>
      </c>
      <c r="B150" s="12" t="s">
        <v>481</v>
      </c>
      <c r="C150" s="12" t="s">
        <v>482</v>
      </c>
      <c r="D150" s="13">
        <v>39.030610000000003</v>
      </c>
      <c r="E150" s="13">
        <v>16.11655</v>
      </c>
      <c r="F150" s="12" t="s">
        <v>483</v>
      </c>
      <c r="G150" s="12" t="s">
        <v>482</v>
      </c>
      <c r="H150" s="14">
        <v>50000</v>
      </c>
      <c r="I150" s="3">
        <v>3</v>
      </c>
      <c r="L150" s="15">
        <f t="shared" si="5"/>
        <v>39.030610000000003</v>
      </c>
      <c r="M150" s="15">
        <f t="shared" si="6"/>
        <v>16.11655</v>
      </c>
    </row>
    <row r="151" spans="1:13" ht="9.75" customHeight="1" x14ac:dyDescent="0.15">
      <c r="A151" s="16" t="s">
        <v>426</v>
      </c>
      <c r="B151" s="12" t="s">
        <v>484</v>
      </c>
      <c r="C151" s="12" t="s">
        <v>485</v>
      </c>
      <c r="D151" s="13">
        <v>38.92651</v>
      </c>
      <c r="E151" s="13">
        <v>16.875409999999999</v>
      </c>
      <c r="F151" s="12" t="s">
        <v>486</v>
      </c>
      <c r="G151" s="12" t="s">
        <v>485</v>
      </c>
      <c r="H151" s="14">
        <v>13649</v>
      </c>
      <c r="L151" s="1" t="b">
        <f t="shared" si="5"/>
        <v>0</v>
      </c>
      <c r="M151" s="1" t="b">
        <f t="shared" si="6"/>
        <v>0</v>
      </c>
    </row>
    <row r="152" spans="1:13" ht="9.75" customHeight="1" x14ac:dyDescent="0.15">
      <c r="A152" s="16" t="s">
        <v>426</v>
      </c>
      <c r="B152" s="12" t="s">
        <v>487</v>
      </c>
      <c r="C152" s="12" t="s">
        <v>488</v>
      </c>
      <c r="D152" s="13">
        <v>38.819989999999997</v>
      </c>
      <c r="E152" s="13">
        <v>16.604859999999999</v>
      </c>
      <c r="F152" s="12" t="s">
        <v>489</v>
      </c>
      <c r="G152" s="12" t="s">
        <v>488</v>
      </c>
      <c r="H152" s="14">
        <v>93424</v>
      </c>
      <c r="I152" s="3">
        <v>3</v>
      </c>
      <c r="L152" s="15">
        <f t="shared" si="5"/>
        <v>38.819989999999997</v>
      </c>
      <c r="M152" s="15">
        <f t="shared" si="6"/>
        <v>16.604859999999999</v>
      </c>
    </row>
    <row r="153" spans="1:13" ht="9.75" customHeight="1" x14ac:dyDescent="0.15">
      <c r="A153" s="16" t="s">
        <v>426</v>
      </c>
      <c r="B153" s="12" t="s">
        <v>490</v>
      </c>
      <c r="C153" s="12" t="s">
        <v>491</v>
      </c>
      <c r="D153" s="13">
        <v>38.591810000000002</v>
      </c>
      <c r="E153" s="13">
        <v>16.56157</v>
      </c>
      <c r="F153" s="12" t="s">
        <v>492</v>
      </c>
      <c r="G153" s="12" t="s">
        <v>493</v>
      </c>
      <c r="H153" s="14">
        <v>18000</v>
      </c>
      <c r="L153" s="1" t="b">
        <f t="shared" si="5"/>
        <v>0</v>
      </c>
      <c r="M153" s="1" t="b">
        <f t="shared" si="6"/>
        <v>0</v>
      </c>
    </row>
    <row r="154" spans="1:13" ht="9.75" customHeight="1" x14ac:dyDescent="0.15">
      <c r="A154" s="16" t="s">
        <v>426</v>
      </c>
      <c r="B154" s="12" t="s">
        <v>494</v>
      </c>
      <c r="C154" s="12" t="s">
        <v>495</v>
      </c>
      <c r="D154" s="13">
        <v>38.675939999999997</v>
      </c>
      <c r="E154" s="13">
        <v>16.558199999999999</v>
      </c>
      <c r="F154" s="12" t="s">
        <v>496</v>
      </c>
      <c r="G154" s="12" t="s">
        <v>495</v>
      </c>
      <c r="H154" s="14">
        <v>37981</v>
      </c>
      <c r="L154" s="1" t="b">
        <f t="shared" si="5"/>
        <v>0</v>
      </c>
      <c r="M154" s="1" t="b">
        <f t="shared" si="6"/>
        <v>0</v>
      </c>
    </row>
    <row r="155" spans="1:13" ht="9.75" customHeight="1" x14ac:dyDescent="0.15">
      <c r="A155" s="16" t="s">
        <v>426</v>
      </c>
      <c r="B155" s="12" t="s">
        <v>497</v>
      </c>
      <c r="C155" s="12" t="s">
        <v>498</v>
      </c>
      <c r="D155" s="13">
        <v>39.377899999999997</v>
      </c>
      <c r="E155" s="13">
        <v>17.137589999999999</v>
      </c>
      <c r="F155" s="12" t="s">
        <v>499</v>
      </c>
      <c r="G155" s="12" t="s">
        <v>500</v>
      </c>
      <c r="H155" s="14">
        <v>39050</v>
      </c>
      <c r="L155" s="1" t="b">
        <f t="shared" si="5"/>
        <v>0</v>
      </c>
      <c r="M155" s="1" t="b">
        <f t="shared" si="6"/>
        <v>0</v>
      </c>
    </row>
    <row r="156" spans="1:13" ht="9.75" customHeight="1" x14ac:dyDescent="0.15">
      <c r="A156" s="16" t="s">
        <v>426</v>
      </c>
      <c r="B156" s="12" t="s">
        <v>501</v>
      </c>
      <c r="C156" s="12" t="s">
        <v>502</v>
      </c>
      <c r="D156" s="13">
        <v>39.284689999999998</v>
      </c>
      <c r="E156" s="13">
        <v>17.015699999999999</v>
      </c>
      <c r="F156" s="12" t="s">
        <v>503</v>
      </c>
      <c r="G156" s="12" t="s">
        <v>502</v>
      </c>
      <c r="H156" s="14">
        <v>3500</v>
      </c>
      <c r="L156" s="1" t="b">
        <f t="shared" si="5"/>
        <v>0</v>
      </c>
      <c r="M156" s="1" t="b">
        <f t="shared" si="6"/>
        <v>0</v>
      </c>
    </row>
    <row r="157" spans="1:13" ht="9.75" customHeight="1" x14ac:dyDescent="0.15">
      <c r="A157" s="16" t="s">
        <v>426</v>
      </c>
      <c r="B157" s="12" t="s">
        <v>504</v>
      </c>
      <c r="C157" s="12" t="s">
        <v>505</v>
      </c>
      <c r="D157" s="13">
        <v>38.912889999999997</v>
      </c>
      <c r="E157" s="13">
        <v>17.018879999999999</v>
      </c>
      <c r="F157" s="12" t="s">
        <v>506</v>
      </c>
      <c r="G157" s="12" t="s">
        <v>507</v>
      </c>
      <c r="H157" s="14">
        <v>20000</v>
      </c>
      <c r="L157" s="1" t="b">
        <f t="shared" si="5"/>
        <v>0</v>
      </c>
      <c r="M157" s="1" t="b">
        <f t="shared" si="6"/>
        <v>0</v>
      </c>
    </row>
    <row r="158" spans="1:13" ht="9.75" customHeight="1" x14ac:dyDescent="0.15">
      <c r="A158" s="16" t="s">
        <v>426</v>
      </c>
      <c r="B158" s="12" t="s">
        <v>508</v>
      </c>
      <c r="C158" s="12" t="s">
        <v>509</v>
      </c>
      <c r="D158" s="13">
        <v>38.724469999999997</v>
      </c>
      <c r="E158" s="13">
        <v>16.039650000000002</v>
      </c>
      <c r="F158" s="12" t="s">
        <v>510</v>
      </c>
      <c r="G158" s="12" t="s">
        <v>509</v>
      </c>
      <c r="H158" s="14">
        <v>6700</v>
      </c>
      <c r="L158" s="1" t="b">
        <f t="shared" si="5"/>
        <v>0</v>
      </c>
      <c r="M158" s="1" t="b">
        <f t="shared" si="6"/>
        <v>0</v>
      </c>
    </row>
    <row r="159" spans="1:13" ht="9.75" customHeight="1" x14ac:dyDescent="0.15">
      <c r="A159" s="16" t="s">
        <v>426</v>
      </c>
      <c r="B159" s="12" t="s">
        <v>511</v>
      </c>
      <c r="C159" s="12" t="s">
        <v>512</v>
      </c>
      <c r="D159" s="13">
        <v>38.68779</v>
      </c>
      <c r="E159" s="13">
        <v>15.907640000000001</v>
      </c>
      <c r="F159" s="12" t="s">
        <v>513</v>
      </c>
      <c r="G159" s="12" t="s">
        <v>512</v>
      </c>
      <c r="H159" s="14">
        <v>18193</v>
      </c>
      <c r="L159" s="1" t="b">
        <f t="shared" si="5"/>
        <v>0</v>
      </c>
      <c r="M159" s="1" t="b">
        <f t="shared" si="6"/>
        <v>0</v>
      </c>
    </row>
    <row r="160" spans="1:13" ht="9.75" customHeight="1" x14ac:dyDescent="0.15">
      <c r="A160" s="16" t="s">
        <v>426</v>
      </c>
      <c r="B160" s="12" t="s">
        <v>514</v>
      </c>
      <c r="C160" s="12" t="s">
        <v>515</v>
      </c>
      <c r="D160" s="13">
        <v>38.607990000000001</v>
      </c>
      <c r="E160" s="13">
        <v>15.842599999999999</v>
      </c>
      <c r="F160" s="12" t="s">
        <v>516</v>
      </c>
      <c r="G160" s="12" t="s">
        <v>515</v>
      </c>
      <c r="H160" s="14">
        <v>12000</v>
      </c>
      <c r="L160" s="1" t="b">
        <f t="shared" si="5"/>
        <v>0</v>
      </c>
      <c r="M160" s="1" t="b">
        <f t="shared" si="6"/>
        <v>0</v>
      </c>
    </row>
    <row r="161" spans="1:13" ht="9.75" customHeight="1" x14ac:dyDescent="0.15">
      <c r="A161" s="16" t="s">
        <v>426</v>
      </c>
      <c r="B161" s="12" t="s">
        <v>517</v>
      </c>
      <c r="C161" s="12" t="s">
        <v>518</v>
      </c>
      <c r="D161" s="13">
        <v>38.346440000000001</v>
      </c>
      <c r="E161" s="13">
        <v>16.194040000000001</v>
      </c>
      <c r="F161" s="12" t="s">
        <v>519</v>
      </c>
      <c r="G161" s="12" t="s">
        <v>520</v>
      </c>
      <c r="H161" s="14">
        <v>135038</v>
      </c>
      <c r="I161" s="3">
        <v>3</v>
      </c>
      <c r="L161" s="15">
        <f t="shared" si="5"/>
        <v>38.346440000000001</v>
      </c>
      <c r="M161" s="15">
        <f t="shared" si="6"/>
        <v>16.194040000000001</v>
      </c>
    </row>
    <row r="162" spans="1:13" ht="9.75" customHeight="1" x14ac:dyDescent="0.15">
      <c r="A162" s="16" t="s">
        <v>426</v>
      </c>
      <c r="B162" s="12" t="s">
        <v>521</v>
      </c>
      <c r="C162" s="12" t="s">
        <v>522</v>
      </c>
      <c r="D162" s="13">
        <v>37.932259999999999</v>
      </c>
      <c r="E162" s="13">
        <v>15.747249999999999</v>
      </c>
      <c r="F162" s="12" t="s">
        <v>523</v>
      </c>
      <c r="G162" s="12" t="s">
        <v>524</v>
      </c>
      <c r="H162" s="14">
        <v>9441</v>
      </c>
      <c r="L162" s="1" t="b">
        <f t="shared" si="5"/>
        <v>0</v>
      </c>
      <c r="M162" s="1" t="b">
        <f t="shared" si="6"/>
        <v>0</v>
      </c>
    </row>
    <row r="163" spans="1:13" ht="9.75" customHeight="1" x14ac:dyDescent="0.15">
      <c r="A163" s="16" t="s">
        <v>426</v>
      </c>
      <c r="B163" s="12" t="s">
        <v>525</v>
      </c>
      <c r="C163" s="12" t="s">
        <v>526</v>
      </c>
      <c r="D163" s="13">
        <v>37.933660000000003</v>
      </c>
      <c r="E163" s="13">
        <v>15.725149999999999</v>
      </c>
      <c r="F163" s="12" t="s">
        <v>527</v>
      </c>
      <c r="G163" s="12" t="s">
        <v>526</v>
      </c>
      <c r="H163" s="14">
        <v>7200</v>
      </c>
      <c r="L163" s="1" t="b">
        <f t="shared" si="5"/>
        <v>0</v>
      </c>
      <c r="M163" s="1" t="b">
        <f t="shared" si="6"/>
        <v>0</v>
      </c>
    </row>
    <row r="164" spans="1:13" ht="9.75" customHeight="1" x14ac:dyDescent="0.15">
      <c r="A164" s="16" t="s">
        <v>426</v>
      </c>
      <c r="B164" s="12" t="s">
        <v>528</v>
      </c>
      <c r="C164" s="12" t="s">
        <v>529</v>
      </c>
      <c r="D164" s="13">
        <v>38.106050000000003</v>
      </c>
      <c r="E164" s="13">
        <v>15.63724</v>
      </c>
      <c r="F164" s="12" t="s">
        <v>530</v>
      </c>
      <c r="G164" s="12" t="s">
        <v>529</v>
      </c>
      <c r="H164" s="14">
        <v>30000</v>
      </c>
      <c r="L164" s="1" t="b">
        <f t="shared" si="5"/>
        <v>0</v>
      </c>
      <c r="M164" s="1" t="b">
        <f t="shared" si="6"/>
        <v>0</v>
      </c>
    </row>
    <row r="165" spans="1:13" ht="9.75" customHeight="1" x14ac:dyDescent="0.15">
      <c r="A165" s="16" t="s">
        <v>426</v>
      </c>
      <c r="B165" s="12" t="s">
        <v>531</v>
      </c>
      <c r="C165" s="12" t="s">
        <v>532</v>
      </c>
      <c r="D165" s="13">
        <v>38.021279999999997</v>
      </c>
      <c r="E165" s="13">
        <v>15.64579</v>
      </c>
      <c r="F165" s="12" t="s">
        <v>533</v>
      </c>
      <c r="G165" s="12" t="s">
        <v>532</v>
      </c>
      <c r="H165" s="14">
        <v>30000</v>
      </c>
      <c r="L165" s="1" t="b">
        <f t="shared" si="5"/>
        <v>0</v>
      </c>
      <c r="M165" s="1" t="b">
        <f t="shared" si="6"/>
        <v>0</v>
      </c>
    </row>
    <row r="166" spans="1:13" ht="9.75" customHeight="1" x14ac:dyDescent="0.15">
      <c r="A166" s="17" t="s">
        <v>534</v>
      </c>
      <c r="B166" s="12" t="s">
        <v>535</v>
      </c>
      <c r="C166" s="12" t="s">
        <v>536</v>
      </c>
      <c r="D166" s="13">
        <v>35.493980000000001</v>
      </c>
      <c r="E166" s="13">
        <v>12.60566</v>
      </c>
      <c r="F166" s="12" t="s">
        <v>537</v>
      </c>
      <c r="G166" s="12" t="s">
        <v>538</v>
      </c>
      <c r="H166" s="14">
        <v>7200</v>
      </c>
      <c r="L166" s="1" t="b">
        <f t="shared" si="5"/>
        <v>0</v>
      </c>
      <c r="M166" s="1" t="b">
        <f t="shared" si="6"/>
        <v>0</v>
      </c>
    </row>
    <row r="167" spans="1:13" ht="9.75" customHeight="1" x14ac:dyDescent="0.15">
      <c r="A167" s="17" t="s">
        <v>534</v>
      </c>
      <c r="B167" s="12" t="s">
        <v>539</v>
      </c>
      <c r="C167" s="12" t="s">
        <v>540</v>
      </c>
      <c r="D167" s="13">
        <v>37.101759999999999</v>
      </c>
      <c r="E167" s="13">
        <v>13.949820000000001</v>
      </c>
      <c r="F167" s="12" t="s">
        <v>541</v>
      </c>
      <c r="G167" s="12" t="s">
        <v>542</v>
      </c>
      <c r="H167" s="14">
        <v>38064</v>
      </c>
      <c r="L167" s="1" t="b">
        <f t="shared" si="5"/>
        <v>0</v>
      </c>
      <c r="M167" s="1" t="b">
        <f t="shared" si="6"/>
        <v>0</v>
      </c>
    </row>
    <row r="168" spans="1:13" ht="9.75" customHeight="1" x14ac:dyDescent="0.15">
      <c r="A168" s="17" t="s">
        <v>534</v>
      </c>
      <c r="B168" s="12" t="s">
        <v>543</v>
      </c>
      <c r="C168" s="12" t="s">
        <v>544</v>
      </c>
      <c r="D168" s="13">
        <v>37.577289999999998</v>
      </c>
      <c r="E168" s="13">
        <v>12.949350000000001</v>
      </c>
      <c r="F168" s="12" t="s">
        <v>545</v>
      </c>
      <c r="G168" s="12" t="s">
        <v>546</v>
      </c>
      <c r="H168" s="14">
        <v>15000</v>
      </c>
      <c r="L168" s="1" t="b">
        <f t="shared" si="5"/>
        <v>0</v>
      </c>
      <c r="M168" s="1" t="b">
        <f t="shared" si="6"/>
        <v>0</v>
      </c>
    </row>
    <row r="169" spans="1:13" ht="9.75" customHeight="1" x14ac:dyDescent="0.15">
      <c r="A169" s="17" t="s">
        <v>534</v>
      </c>
      <c r="B169" s="12" t="s">
        <v>547</v>
      </c>
      <c r="C169" s="12" t="s">
        <v>548</v>
      </c>
      <c r="D169" s="13">
        <v>37.286079999999998</v>
      </c>
      <c r="E169" s="13">
        <v>13.53185</v>
      </c>
      <c r="F169" s="12" t="s">
        <v>549</v>
      </c>
      <c r="G169" s="12" t="s">
        <v>550</v>
      </c>
      <c r="H169" s="14">
        <v>28841</v>
      </c>
      <c r="L169" s="1" t="b">
        <f t="shared" si="5"/>
        <v>0</v>
      </c>
      <c r="M169" s="1" t="b">
        <f t="shared" si="6"/>
        <v>0</v>
      </c>
    </row>
    <row r="170" spans="1:13" ht="9.75" customHeight="1" x14ac:dyDescent="0.15">
      <c r="A170" s="17" t="s">
        <v>534</v>
      </c>
      <c r="B170" s="12" t="s">
        <v>551</v>
      </c>
      <c r="C170" s="12" t="s">
        <v>552</v>
      </c>
      <c r="D170" s="13">
        <v>37.30368</v>
      </c>
      <c r="E170" s="13">
        <v>13.45623</v>
      </c>
      <c r="F170" s="12" t="s">
        <v>553</v>
      </c>
      <c r="G170" s="12" t="s">
        <v>554</v>
      </c>
      <c r="H170" s="14">
        <v>4583</v>
      </c>
      <c r="L170" s="1" t="b">
        <f t="shared" si="5"/>
        <v>0</v>
      </c>
      <c r="M170" s="1" t="b">
        <f t="shared" si="6"/>
        <v>0</v>
      </c>
    </row>
    <row r="171" spans="1:13" ht="9.75" customHeight="1" x14ac:dyDescent="0.15">
      <c r="A171" s="17" t="s">
        <v>534</v>
      </c>
      <c r="B171" s="12" t="s">
        <v>555</v>
      </c>
      <c r="C171" s="12" t="s">
        <v>556</v>
      </c>
      <c r="D171" s="13">
        <v>37.058959999999999</v>
      </c>
      <c r="E171" s="13">
        <v>14.26641</v>
      </c>
      <c r="F171" s="12" t="s">
        <v>557</v>
      </c>
      <c r="G171" s="12" t="s">
        <v>558</v>
      </c>
      <c r="H171" s="14">
        <v>20658</v>
      </c>
      <c r="L171" s="1" t="b">
        <f t="shared" si="5"/>
        <v>0</v>
      </c>
      <c r="M171" s="1" t="b">
        <f t="shared" si="6"/>
        <v>0</v>
      </c>
    </row>
    <row r="172" spans="1:13" ht="9.75" customHeight="1" x14ac:dyDescent="0.15">
      <c r="A172" s="17" t="s">
        <v>534</v>
      </c>
      <c r="B172" s="12" t="s">
        <v>559</v>
      </c>
      <c r="C172" s="12" t="s">
        <v>560</v>
      </c>
      <c r="D172" s="13">
        <v>37.08314</v>
      </c>
      <c r="E172" s="13">
        <v>14.207520000000001</v>
      </c>
      <c r="F172" s="12" t="s">
        <v>561</v>
      </c>
      <c r="G172" s="12" t="s">
        <v>562</v>
      </c>
      <c r="H172" s="14">
        <v>9533</v>
      </c>
      <c r="L172" s="1" t="b">
        <f t="shared" si="5"/>
        <v>0</v>
      </c>
      <c r="M172" s="1" t="b">
        <f t="shared" si="6"/>
        <v>0</v>
      </c>
    </row>
    <row r="173" spans="1:13" ht="9.75" customHeight="1" x14ac:dyDescent="0.15">
      <c r="A173" s="17" t="s">
        <v>534</v>
      </c>
      <c r="B173" s="12" t="s">
        <v>563</v>
      </c>
      <c r="C173" s="12" t="s">
        <v>564</v>
      </c>
      <c r="D173" s="13">
        <v>38.152459999999998</v>
      </c>
      <c r="E173" s="13">
        <v>15.17407</v>
      </c>
      <c r="F173" s="12" t="s">
        <v>565</v>
      </c>
      <c r="G173" s="12" t="s">
        <v>566</v>
      </c>
      <c r="H173" s="14">
        <v>110796</v>
      </c>
      <c r="I173" s="3">
        <v>4</v>
      </c>
      <c r="L173" s="15">
        <f t="shared" si="5"/>
        <v>38.152459999999998</v>
      </c>
      <c r="M173" s="15">
        <f t="shared" si="6"/>
        <v>15.17407</v>
      </c>
    </row>
    <row r="174" spans="1:13" ht="9.75" customHeight="1" x14ac:dyDescent="0.15">
      <c r="A174" s="17" t="s">
        <v>534</v>
      </c>
      <c r="B174" s="12" t="s">
        <v>567</v>
      </c>
      <c r="C174" s="12" t="s">
        <v>568</v>
      </c>
      <c r="D174" s="13">
        <v>38.033160000000002</v>
      </c>
      <c r="E174" s="13">
        <v>14.450850000000001</v>
      </c>
      <c r="F174" s="12" t="s">
        <v>569</v>
      </c>
      <c r="G174" s="12" t="s">
        <v>570</v>
      </c>
      <c r="H174" s="14">
        <v>4100</v>
      </c>
      <c r="L174" s="1" t="b">
        <f t="shared" si="5"/>
        <v>0</v>
      </c>
      <c r="M174" s="1" t="b">
        <f t="shared" si="6"/>
        <v>0</v>
      </c>
    </row>
    <row r="175" spans="1:13" ht="9.75" customHeight="1" x14ac:dyDescent="0.15">
      <c r="A175" s="17" t="s">
        <v>534</v>
      </c>
      <c r="B175" s="12" t="s">
        <v>571</v>
      </c>
      <c r="C175" s="12" t="s">
        <v>564</v>
      </c>
      <c r="D175" s="13">
        <v>38.170789999999997</v>
      </c>
      <c r="E175" s="13">
        <v>14.88725</v>
      </c>
      <c r="F175" s="12" t="s">
        <v>572</v>
      </c>
      <c r="G175" s="12" t="s">
        <v>573</v>
      </c>
      <c r="H175" s="14">
        <v>22000</v>
      </c>
      <c r="L175" s="1" t="b">
        <f t="shared" si="5"/>
        <v>0</v>
      </c>
      <c r="M175" s="1" t="b">
        <f t="shared" si="6"/>
        <v>0</v>
      </c>
    </row>
    <row r="176" spans="1:13" ht="9.75" customHeight="1" x14ac:dyDescent="0.15">
      <c r="A176" s="17" t="s">
        <v>534</v>
      </c>
      <c r="B176" s="12" t="s">
        <v>574</v>
      </c>
      <c r="C176" s="12" t="s">
        <v>575</v>
      </c>
      <c r="D176" s="13">
        <v>38.470939999999999</v>
      </c>
      <c r="E176" s="13">
        <v>14.952360000000001</v>
      </c>
      <c r="F176" s="12" t="s">
        <v>576</v>
      </c>
      <c r="G176" s="12" t="s">
        <v>577</v>
      </c>
      <c r="H176" s="14">
        <v>10075</v>
      </c>
      <c r="L176" s="1" t="b">
        <f t="shared" si="5"/>
        <v>0</v>
      </c>
      <c r="M176" s="1" t="b">
        <f t="shared" si="6"/>
        <v>0</v>
      </c>
    </row>
    <row r="177" spans="1:13" ht="9.75" customHeight="1" x14ac:dyDescent="0.15">
      <c r="A177" s="17" t="s">
        <v>534</v>
      </c>
      <c r="B177" s="12" t="s">
        <v>578</v>
      </c>
      <c r="C177" s="12" t="s">
        <v>579</v>
      </c>
      <c r="D177" s="13">
        <v>38.11815</v>
      </c>
      <c r="E177" s="13">
        <v>15.08727</v>
      </c>
      <c r="F177" s="12" t="s">
        <v>580</v>
      </c>
      <c r="G177" s="12" t="s">
        <v>581</v>
      </c>
      <c r="H177" s="14">
        <v>9496</v>
      </c>
      <c r="L177" s="1" t="b">
        <f t="shared" si="5"/>
        <v>0</v>
      </c>
      <c r="M177" s="1" t="b">
        <f t="shared" si="6"/>
        <v>0</v>
      </c>
    </row>
    <row r="178" spans="1:13" ht="9.75" customHeight="1" x14ac:dyDescent="0.15">
      <c r="A178" s="17" t="s">
        <v>534</v>
      </c>
      <c r="B178" s="12" t="s">
        <v>582</v>
      </c>
      <c r="C178" s="12" t="s">
        <v>583</v>
      </c>
      <c r="D178" s="13">
        <v>38.115430000000003</v>
      </c>
      <c r="E178" s="13">
        <v>15.508979999999999</v>
      </c>
      <c r="F178" s="12" t="s">
        <v>584</v>
      </c>
      <c r="G178" s="12" t="s">
        <v>585</v>
      </c>
      <c r="H178" s="14">
        <v>21390</v>
      </c>
      <c r="L178" s="1" t="b">
        <f t="shared" si="5"/>
        <v>0</v>
      </c>
      <c r="M178" s="1" t="b">
        <f t="shared" si="6"/>
        <v>0</v>
      </c>
    </row>
    <row r="179" spans="1:13" ht="9.75" customHeight="1" x14ac:dyDescent="0.15">
      <c r="A179" s="17" t="s">
        <v>534</v>
      </c>
      <c r="B179" s="12" t="s">
        <v>586</v>
      </c>
      <c r="C179" s="12" t="s">
        <v>587</v>
      </c>
      <c r="D179" s="13">
        <v>38.298560000000002</v>
      </c>
      <c r="E179" s="13">
        <v>15.5382</v>
      </c>
      <c r="F179" s="12" t="s">
        <v>588</v>
      </c>
      <c r="G179" s="12" t="s">
        <v>589</v>
      </c>
      <c r="H179" s="14">
        <v>209000</v>
      </c>
      <c r="I179" s="3">
        <v>4</v>
      </c>
      <c r="L179" s="15">
        <f t="shared" si="5"/>
        <v>38.298560000000002</v>
      </c>
      <c r="M179" s="15">
        <f t="shared" si="6"/>
        <v>15.5382</v>
      </c>
    </row>
    <row r="180" spans="1:13" ht="9.75" customHeight="1" x14ac:dyDescent="0.15">
      <c r="A180" s="17" t="s">
        <v>534</v>
      </c>
      <c r="B180" s="12" t="s">
        <v>590</v>
      </c>
      <c r="C180" s="12" t="s">
        <v>591</v>
      </c>
      <c r="D180" s="13">
        <v>38.203740000000003</v>
      </c>
      <c r="E180" s="13">
        <v>15.22691</v>
      </c>
      <c r="F180" s="12" t="s">
        <v>592</v>
      </c>
      <c r="G180" s="12" t="s">
        <v>593</v>
      </c>
      <c r="H180" s="14">
        <v>2569</v>
      </c>
      <c r="L180" s="1" t="b">
        <f t="shared" si="5"/>
        <v>0</v>
      </c>
      <c r="M180" s="1" t="b">
        <f t="shared" si="6"/>
        <v>0</v>
      </c>
    </row>
    <row r="181" spans="1:13" ht="9.75" customHeight="1" x14ac:dyDescent="0.15">
      <c r="A181" s="17" t="s">
        <v>534</v>
      </c>
      <c r="B181" s="12" t="s">
        <v>594</v>
      </c>
      <c r="C181" s="12" t="s">
        <v>595</v>
      </c>
      <c r="D181" s="13">
        <v>38.146990000000002</v>
      </c>
      <c r="E181" s="13">
        <v>14.989420000000001</v>
      </c>
      <c r="F181" s="12" t="s">
        <v>596</v>
      </c>
      <c r="G181" s="12" t="s">
        <v>597</v>
      </c>
      <c r="H181" s="14">
        <v>1080</v>
      </c>
      <c r="L181" s="1" t="b">
        <f t="shared" si="5"/>
        <v>0</v>
      </c>
      <c r="M181" s="1" t="b">
        <f t="shared" si="6"/>
        <v>0</v>
      </c>
    </row>
    <row r="182" spans="1:13" ht="9.75" customHeight="1" x14ac:dyDescent="0.15">
      <c r="A182" s="17" t="s">
        <v>534</v>
      </c>
      <c r="B182" s="12" t="s">
        <v>598</v>
      </c>
      <c r="C182" s="12" t="s">
        <v>564</v>
      </c>
      <c r="D182" s="13">
        <v>37.967739999999999</v>
      </c>
      <c r="E182" s="13">
        <v>15.384040000000001</v>
      </c>
      <c r="F182" s="12" t="s">
        <v>599</v>
      </c>
      <c r="G182" s="12" t="s">
        <v>600</v>
      </c>
      <c r="H182" s="14">
        <v>20204</v>
      </c>
      <c r="L182" s="1" t="b">
        <f t="shared" si="5"/>
        <v>0</v>
      </c>
      <c r="M182" s="1" t="b">
        <f t="shared" si="6"/>
        <v>0</v>
      </c>
    </row>
    <row r="183" spans="1:13" ht="9.75" customHeight="1" x14ac:dyDescent="0.15">
      <c r="A183" s="17" t="s">
        <v>534</v>
      </c>
      <c r="B183" s="12" t="s">
        <v>601</v>
      </c>
      <c r="C183" s="12" t="s">
        <v>564</v>
      </c>
      <c r="D183" s="13">
        <v>37.924489999999999</v>
      </c>
      <c r="E183" s="13">
        <v>15.337479999999999</v>
      </c>
      <c r="F183" s="12" t="s">
        <v>602</v>
      </c>
      <c r="G183" s="12" t="s">
        <v>603</v>
      </c>
      <c r="H183" s="14">
        <v>4400</v>
      </c>
      <c r="L183" s="1" t="b">
        <f t="shared" si="5"/>
        <v>0</v>
      </c>
      <c r="M183" s="1" t="b">
        <f t="shared" si="6"/>
        <v>0</v>
      </c>
    </row>
    <row r="184" spans="1:13" ht="9.75" customHeight="1" x14ac:dyDescent="0.15">
      <c r="A184" s="17" t="s">
        <v>534</v>
      </c>
      <c r="B184" s="12" t="s">
        <v>604</v>
      </c>
      <c r="C184" s="12" t="s">
        <v>605</v>
      </c>
      <c r="D184" s="13">
        <v>38.240119999999997</v>
      </c>
      <c r="E184" s="13">
        <v>15.42254</v>
      </c>
      <c r="F184" s="12" t="s">
        <v>606</v>
      </c>
      <c r="G184" s="12" t="s">
        <v>607</v>
      </c>
      <c r="H184" s="14">
        <v>75000</v>
      </c>
      <c r="I184" s="3">
        <v>4</v>
      </c>
      <c r="L184" s="15">
        <f t="shared" si="5"/>
        <v>38.240119999999997</v>
      </c>
      <c r="M184" s="15">
        <f t="shared" si="6"/>
        <v>15.42254</v>
      </c>
    </row>
    <row r="185" spans="1:13" ht="9.75" customHeight="1" x14ac:dyDescent="0.15">
      <c r="A185" s="17" t="s">
        <v>534</v>
      </c>
      <c r="B185" s="12" t="s">
        <v>608</v>
      </c>
      <c r="C185" s="12" t="s">
        <v>609</v>
      </c>
      <c r="D185" s="13">
        <v>38.221980000000002</v>
      </c>
      <c r="E185" s="13">
        <v>15.39612</v>
      </c>
      <c r="F185" s="12" t="s">
        <v>610</v>
      </c>
      <c r="G185" s="12" t="s">
        <v>611</v>
      </c>
      <c r="H185" s="14">
        <v>2598</v>
      </c>
      <c r="L185" s="1" t="b">
        <f t="shared" si="5"/>
        <v>0</v>
      </c>
      <c r="M185" s="1" t="b">
        <f t="shared" si="6"/>
        <v>0</v>
      </c>
    </row>
    <row r="186" spans="1:13" ht="9.75" customHeight="1" x14ac:dyDescent="0.15">
      <c r="A186" s="17" t="s">
        <v>534</v>
      </c>
      <c r="B186" s="12" t="s">
        <v>612</v>
      </c>
      <c r="C186" s="12" t="s">
        <v>564</v>
      </c>
      <c r="D186" s="13">
        <v>38.216839999999998</v>
      </c>
      <c r="E186" s="13">
        <v>15.353759999999999</v>
      </c>
      <c r="F186" s="12" t="s">
        <v>613</v>
      </c>
      <c r="G186" s="12" t="s">
        <v>614</v>
      </c>
      <c r="H186" s="14">
        <v>18465</v>
      </c>
      <c r="L186" s="1" t="b">
        <f t="shared" si="5"/>
        <v>0</v>
      </c>
      <c r="M186" s="1" t="b">
        <f t="shared" si="6"/>
        <v>0</v>
      </c>
    </row>
    <row r="187" spans="1:13" ht="9.75" customHeight="1" x14ac:dyDescent="0.15">
      <c r="A187" s="17" t="s">
        <v>534</v>
      </c>
      <c r="B187" s="12" t="s">
        <v>615</v>
      </c>
      <c r="C187" s="12" t="s">
        <v>564</v>
      </c>
      <c r="D187" s="13">
        <v>38.11374</v>
      </c>
      <c r="E187" s="13">
        <v>14.69609</v>
      </c>
      <c r="F187" s="12" t="s">
        <v>616</v>
      </c>
      <c r="G187" s="12" t="s">
        <v>617</v>
      </c>
      <c r="H187" s="14">
        <v>4398</v>
      </c>
      <c r="L187" s="1" t="b">
        <f t="shared" si="5"/>
        <v>0</v>
      </c>
      <c r="M187" s="1" t="b">
        <f t="shared" si="6"/>
        <v>0</v>
      </c>
    </row>
    <row r="188" spans="1:13" ht="9.75" customHeight="1" x14ac:dyDescent="0.15">
      <c r="A188" s="17" t="s">
        <v>534</v>
      </c>
      <c r="B188" s="12" t="s">
        <v>618</v>
      </c>
      <c r="C188" s="12" t="s">
        <v>619</v>
      </c>
      <c r="D188" s="13">
        <v>38.014270000000003</v>
      </c>
      <c r="E188" s="13">
        <v>14.35801</v>
      </c>
      <c r="F188" s="12" t="s">
        <v>620</v>
      </c>
      <c r="G188" s="12" t="s">
        <v>621</v>
      </c>
      <c r="H188" s="14">
        <v>11000</v>
      </c>
      <c r="L188" s="1" t="b">
        <f t="shared" si="5"/>
        <v>0</v>
      </c>
      <c r="M188" s="1" t="b">
        <f t="shared" si="6"/>
        <v>0</v>
      </c>
    </row>
    <row r="189" spans="1:13" ht="9.75" customHeight="1" x14ac:dyDescent="0.15">
      <c r="A189" s="17" t="s">
        <v>534</v>
      </c>
      <c r="B189" s="12" t="s">
        <v>622</v>
      </c>
      <c r="C189" s="12" t="s">
        <v>623</v>
      </c>
      <c r="D189" s="13">
        <v>38.241950000000003</v>
      </c>
      <c r="E189" s="13">
        <v>15.428900000000001</v>
      </c>
      <c r="F189" s="12" t="s">
        <v>624</v>
      </c>
      <c r="G189" s="12" t="s">
        <v>625</v>
      </c>
      <c r="H189" s="14">
        <v>10977</v>
      </c>
      <c r="L189" s="1" t="b">
        <f t="shared" si="5"/>
        <v>0</v>
      </c>
      <c r="M189" s="1" t="b">
        <f t="shared" si="6"/>
        <v>0</v>
      </c>
    </row>
    <row r="190" spans="1:13" ht="9.75" customHeight="1" x14ac:dyDescent="0.15">
      <c r="A190" s="17" t="s">
        <v>534</v>
      </c>
      <c r="B190" s="12" t="s">
        <v>626</v>
      </c>
      <c r="C190" s="12" t="s">
        <v>627</v>
      </c>
      <c r="D190" s="13">
        <v>37.89284</v>
      </c>
      <c r="E190" s="13">
        <v>15.31898</v>
      </c>
      <c r="F190" s="12" t="s">
        <v>628</v>
      </c>
      <c r="G190" s="12" t="s">
        <v>629</v>
      </c>
      <c r="H190" s="14">
        <v>25000</v>
      </c>
      <c r="L190" s="1" t="b">
        <f t="shared" si="5"/>
        <v>0</v>
      </c>
      <c r="M190" s="1" t="b">
        <f t="shared" si="6"/>
        <v>0</v>
      </c>
    </row>
    <row r="191" spans="1:13" ht="9.75" customHeight="1" x14ac:dyDescent="0.15">
      <c r="A191" s="17" t="s">
        <v>534</v>
      </c>
      <c r="B191" s="12" t="s">
        <v>630</v>
      </c>
      <c r="C191" s="12" t="s">
        <v>631</v>
      </c>
      <c r="D191" s="13">
        <v>38.042909999999999</v>
      </c>
      <c r="E191" s="13">
        <v>13.554</v>
      </c>
      <c r="F191" s="12" t="s">
        <v>632</v>
      </c>
      <c r="G191" s="12" t="s">
        <v>633</v>
      </c>
      <c r="H191" s="14">
        <v>20550</v>
      </c>
      <c r="L191" s="1" t="b">
        <f t="shared" si="5"/>
        <v>0</v>
      </c>
      <c r="M191" s="1" t="b">
        <f t="shared" si="6"/>
        <v>0</v>
      </c>
    </row>
    <row r="192" spans="1:13" ht="9.75" customHeight="1" x14ac:dyDescent="0.15">
      <c r="A192" s="17" t="s">
        <v>534</v>
      </c>
      <c r="B192" s="12" t="s">
        <v>634</v>
      </c>
      <c r="C192" s="12" t="s">
        <v>635</v>
      </c>
      <c r="D192" s="13">
        <v>38.098489999999998</v>
      </c>
      <c r="E192" s="13">
        <v>13.494400000000001</v>
      </c>
      <c r="F192" s="12" t="s">
        <v>636</v>
      </c>
      <c r="G192" s="12" t="s">
        <v>637</v>
      </c>
      <c r="H192" s="14">
        <v>68166</v>
      </c>
      <c r="I192" s="3">
        <v>4</v>
      </c>
      <c r="L192" s="15">
        <f t="shared" si="5"/>
        <v>38.098489999999998</v>
      </c>
      <c r="M192" s="15">
        <f t="shared" si="6"/>
        <v>13.494400000000001</v>
      </c>
    </row>
    <row r="193" spans="1:13" ht="9.75" customHeight="1" x14ac:dyDescent="0.15">
      <c r="A193" s="17" t="s">
        <v>534</v>
      </c>
      <c r="B193" s="12" t="s">
        <v>638</v>
      </c>
      <c r="C193" s="12" t="s">
        <v>639</v>
      </c>
      <c r="D193" s="13">
        <v>38.0548</v>
      </c>
      <c r="E193" s="13">
        <v>13.01153</v>
      </c>
      <c r="F193" s="12" t="s">
        <v>640</v>
      </c>
      <c r="G193" s="12" t="s">
        <v>641</v>
      </c>
      <c r="H193" s="14">
        <v>13091</v>
      </c>
      <c r="L193" s="1" t="b">
        <f t="shared" si="5"/>
        <v>0</v>
      </c>
      <c r="M193" s="1" t="b">
        <f t="shared" si="6"/>
        <v>0</v>
      </c>
    </row>
    <row r="194" spans="1:13" ht="9.75" customHeight="1" x14ac:dyDescent="0.15">
      <c r="A194" s="17" t="s">
        <v>534</v>
      </c>
      <c r="B194" s="12" t="s">
        <v>642</v>
      </c>
      <c r="C194" s="12" t="s">
        <v>564</v>
      </c>
      <c r="D194" s="13">
        <v>38.175840000000001</v>
      </c>
      <c r="E194" s="13">
        <v>13.223929999999999</v>
      </c>
      <c r="F194" s="12" t="s">
        <v>643</v>
      </c>
      <c r="G194" s="12" t="s">
        <v>644</v>
      </c>
      <c r="H194" s="14">
        <v>58783</v>
      </c>
      <c r="I194" s="3">
        <v>4</v>
      </c>
      <c r="L194" s="15">
        <f t="shared" ref="L194:L237" si="7">IF(I194&gt;0,D194)</f>
        <v>38.175840000000001</v>
      </c>
      <c r="M194" s="15">
        <f t="shared" ref="M194:M237" si="8">IF(I194&gt;0,E194)</f>
        <v>13.223929999999999</v>
      </c>
    </row>
    <row r="195" spans="1:13" ht="9.75" customHeight="1" x14ac:dyDescent="0.15">
      <c r="A195" s="17" t="s">
        <v>534</v>
      </c>
      <c r="B195" s="12" t="s">
        <v>645</v>
      </c>
      <c r="C195" s="12" t="s">
        <v>646</v>
      </c>
      <c r="D195" s="13">
        <v>38.053159999999998</v>
      </c>
      <c r="E195" s="13">
        <v>13.54274</v>
      </c>
      <c r="F195" s="12" t="s">
        <v>647</v>
      </c>
      <c r="G195" s="12" t="s">
        <v>648</v>
      </c>
      <c r="H195" s="14">
        <v>17650</v>
      </c>
      <c r="L195" s="1" t="b">
        <f t="shared" si="7"/>
        <v>0</v>
      </c>
      <c r="M195" s="1" t="b">
        <f t="shared" si="8"/>
        <v>0</v>
      </c>
    </row>
    <row r="196" spans="1:13" ht="9.75" customHeight="1" x14ac:dyDescent="0.15">
      <c r="A196" s="17" t="s">
        <v>534</v>
      </c>
      <c r="B196" s="12" t="s">
        <v>649</v>
      </c>
      <c r="C196" s="12" t="s">
        <v>650</v>
      </c>
      <c r="D196" s="13">
        <v>38.040819999999997</v>
      </c>
      <c r="E196" s="13">
        <v>14.029629999999999</v>
      </c>
      <c r="F196" s="12" t="s">
        <v>651</v>
      </c>
      <c r="G196" s="12" t="s">
        <v>652</v>
      </c>
      <c r="H196" s="14">
        <v>33882</v>
      </c>
      <c r="L196" s="1" t="b">
        <f t="shared" si="7"/>
        <v>0</v>
      </c>
      <c r="M196" s="1" t="b">
        <f t="shared" si="8"/>
        <v>0</v>
      </c>
    </row>
    <row r="197" spans="1:13" ht="9.75" customHeight="1" x14ac:dyDescent="0.15">
      <c r="A197" s="17" t="s">
        <v>534</v>
      </c>
      <c r="B197" s="12" t="s">
        <v>653</v>
      </c>
      <c r="C197" s="12" t="s">
        <v>654</v>
      </c>
      <c r="D197" s="13">
        <v>38.022100000000002</v>
      </c>
      <c r="E197" s="13">
        <v>14.15563</v>
      </c>
      <c r="F197" s="12" t="s">
        <v>655</v>
      </c>
      <c r="G197" s="12" t="s">
        <v>656</v>
      </c>
      <c r="H197" s="14">
        <v>4342</v>
      </c>
      <c r="L197" s="1" t="b">
        <f t="shared" si="7"/>
        <v>0</v>
      </c>
      <c r="M197" s="1" t="b">
        <f t="shared" si="8"/>
        <v>0</v>
      </c>
    </row>
    <row r="198" spans="1:13" ht="9.75" customHeight="1" x14ac:dyDescent="0.15">
      <c r="A198" s="17" t="s">
        <v>534</v>
      </c>
      <c r="B198" s="12" t="s">
        <v>657</v>
      </c>
      <c r="C198" s="12" t="s">
        <v>658</v>
      </c>
      <c r="D198" s="13">
        <v>37.982329999999997</v>
      </c>
      <c r="E198" s="13">
        <v>13.706060000000001</v>
      </c>
      <c r="F198" s="12" t="s">
        <v>659</v>
      </c>
      <c r="G198" s="12" t="s">
        <v>660</v>
      </c>
      <c r="H198" s="14">
        <v>29590</v>
      </c>
      <c r="L198" s="1" t="b">
        <f t="shared" si="7"/>
        <v>0</v>
      </c>
      <c r="M198" s="1" t="b">
        <f t="shared" si="8"/>
        <v>0</v>
      </c>
    </row>
    <row r="199" spans="1:13" ht="9.75" customHeight="1" x14ac:dyDescent="0.15">
      <c r="A199" s="17" t="s">
        <v>534</v>
      </c>
      <c r="B199" s="12" t="s">
        <v>661</v>
      </c>
      <c r="C199" s="12" t="s">
        <v>662</v>
      </c>
      <c r="D199" s="13">
        <v>38.15399</v>
      </c>
      <c r="E199" s="13">
        <v>13.0776</v>
      </c>
      <c r="F199" s="12" t="s">
        <v>663</v>
      </c>
      <c r="G199" s="12" t="s">
        <v>664</v>
      </c>
      <c r="H199" s="14">
        <v>20116</v>
      </c>
      <c r="L199" s="1" t="b">
        <f t="shared" si="7"/>
        <v>0</v>
      </c>
      <c r="M199" s="1" t="b">
        <f t="shared" si="8"/>
        <v>0</v>
      </c>
    </row>
    <row r="200" spans="1:13" ht="9.75" customHeight="1" x14ac:dyDescent="0.15">
      <c r="A200" s="17" t="s">
        <v>534</v>
      </c>
      <c r="B200" s="12" t="s">
        <v>665</v>
      </c>
      <c r="C200" s="12" t="s">
        <v>666</v>
      </c>
      <c r="D200" s="13">
        <v>37.994700000000002</v>
      </c>
      <c r="E200" s="13">
        <v>13.65776</v>
      </c>
      <c r="F200" s="12" t="s">
        <v>667</v>
      </c>
      <c r="G200" s="12" t="s">
        <v>668</v>
      </c>
      <c r="H200" s="14">
        <v>8000</v>
      </c>
      <c r="L200" s="1" t="b">
        <f t="shared" si="7"/>
        <v>0</v>
      </c>
      <c r="M200" s="1" t="b">
        <f t="shared" si="8"/>
        <v>0</v>
      </c>
    </row>
    <row r="201" spans="1:13" ht="9.75" customHeight="1" x14ac:dyDescent="0.15">
      <c r="A201" s="17" t="s">
        <v>534</v>
      </c>
      <c r="B201" s="12" t="s">
        <v>669</v>
      </c>
      <c r="C201" s="12" t="s">
        <v>670</v>
      </c>
      <c r="D201" s="13">
        <v>38.014699999999998</v>
      </c>
      <c r="E201" s="13">
        <v>13.61354</v>
      </c>
      <c r="F201" s="12" t="s">
        <v>671</v>
      </c>
      <c r="G201" s="12" t="s">
        <v>672</v>
      </c>
      <c r="H201" s="14">
        <v>5000</v>
      </c>
      <c r="L201" s="1" t="b">
        <f t="shared" si="7"/>
        <v>0</v>
      </c>
      <c r="M201" s="1" t="b">
        <f t="shared" si="8"/>
        <v>0</v>
      </c>
    </row>
    <row r="202" spans="1:13" ht="9.75" customHeight="1" x14ac:dyDescent="0.15">
      <c r="A202" s="17" t="s">
        <v>534</v>
      </c>
      <c r="B202" s="12" t="s">
        <v>673</v>
      </c>
      <c r="C202" s="12" t="s">
        <v>674</v>
      </c>
      <c r="D202" s="13">
        <v>37.996250000000003</v>
      </c>
      <c r="E202" s="13">
        <v>13.65812</v>
      </c>
      <c r="F202" s="12" t="s">
        <v>675</v>
      </c>
      <c r="G202" s="12" t="s">
        <v>676</v>
      </c>
      <c r="H202" s="14">
        <v>5000</v>
      </c>
      <c r="L202" s="1" t="b">
        <f t="shared" si="7"/>
        <v>0</v>
      </c>
      <c r="M202" s="1" t="b">
        <f t="shared" si="8"/>
        <v>0</v>
      </c>
    </row>
    <row r="203" spans="1:13" ht="9.75" customHeight="1" x14ac:dyDescent="0.15">
      <c r="A203" s="17" t="s">
        <v>534</v>
      </c>
      <c r="B203" s="12" t="s">
        <v>677</v>
      </c>
      <c r="C203" s="12" t="s">
        <v>678</v>
      </c>
      <c r="D203" s="13">
        <v>38.071129999999997</v>
      </c>
      <c r="E203" s="13">
        <v>13.04177</v>
      </c>
      <c r="F203" s="12" t="s">
        <v>679</v>
      </c>
      <c r="G203" s="12" t="s">
        <v>680</v>
      </c>
      <c r="H203" s="14">
        <v>8577</v>
      </c>
      <c r="L203" s="1" t="b">
        <f t="shared" si="7"/>
        <v>0</v>
      </c>
      <c r="M203" s="1" t="b">
        <f t="shared" si="8"/>
        <v>0</v>
      </c>
    </row>
    <row r="204" spans="1:13" ht="9.75" customHeight="1" x14ac:dyDescent="0.15">
      <c r="A204" s="17" t="s">
        <v>534</v>
      </c>
      <c r="B204" s="12" t="s">
        <v>681</v>
      </c>
      <c r="C204" s="12" t="s">
        <v>682</v>
      </c>
      <c r="D204" s="13">
        <v>38.129010000000001</v>
      </c>
      <c r="E204" s="13">
        <v>13.352600000000001</v>
      </c>
      <c r="F204" s="12" t="s">
        <v>683</v>
      </c>
      <c r="G204" s="12" t="s">
        <v>684</v>
      </c>
      <c r="H204" s="14">
        <v>15512</v>
      </c>
      <c r="L204" s="1" t="b">
        <f t="shared" si="7"/>
        <v>0</v>
      </c>
      <c r="M204" s="1" t="b">
        <f t="shared" si="8"/>
        <v>0</v>
      </c>
    </row>
    <row r="205" spans="1:13" ht="9.75" customHeight="1" x14ac:dyDescent="0.15">
      <c r="A205" s="17" t="s">
        <v>534</v>
      </c>
      <c r="B205" s="12" t="s">
        <v>685</v>
      </c>
      <c r="C205" s="12" t="s">
        <v>686</v>
      </c>
      <c r="D205" s="13">
        <v>38.091270000000002</v>
      </c>
      <c r="E205" s="13">
        <v>13.43896</v>
      </c>
      <c r="F205" s="12" t="s">
        <v>687</v>
      </c>
      <c r="G205" s="12" t="s">
        <v>688</v>
      </c>
      <c r="H205" s="14">
        <v>341113</v>
      </c>
      <c r="I205" s="3">
        <v>4</v>
      </c>
      <c r="L205" s="15">
        <f t="shared" si="7"/>
        <v>38.091270000000002</v>
      </c>
      <c r="M205" s="15">
        <f t="shared" si="8"/>
        <v>13.43896</v>
      </c>
    </row>
    <row r="206" spans="1:13" ht="9.75" customHeight="1" x14ac:dyDescent="0.15">
      <c r="A206" s="17" t="s">
        <v>534</v>
      </c>
      <c r="B206" s="12" t="s">
        <v>689</v>
      </c>
      <c r="C206" s="12" t="s">
        <v>690</v>
      </c>
      <c r="D206" s="13">
        <v>36.726849999999999</v>
      </c>
      <c r="E206" s="13">
        <v>14.91235</v>
      </c>
      <c r="F206" s="12" t="s">
        <v>691</v>
      </c>
      <c r="G206" s="12" t="s">
        <v>692</v>
      </c>
      <c r="H206" s="14">
        <v>440</v>
      </c>
      <c r="L206" s="1" t="b">
        <f t="shared" si="7"/>
        <v>0</v>
      </c>
      <c r="M206" s="1" t="b">
        <f t="shared" si="8"/>
        <v>0</v>
      </c>
    </row>
    <row r="207" spans="1:13" ht="9.75" customHeight="1" x14ac:dyDescent="0.15">
      <c r="A207" s="17" t="s">
        <v>534</v>
      </c>
      <c r="B207" s="12" t="s">
        <v>693</v>
      </c>
      <c r="C207" s="12" t="s">
        <v>694</v>
      </c>
      <c r="D207" s="13">
        <v>36.767389999999999</v>
      </c>
      <c r="E207" s="13">
        <v>14.616479999999999</v>
      </c>
      <c r="F207" s="12" t="s">
        <v>695</v>
      </c>
      <c r="G207" s="12" t="s">
        <v>696</v>
      </c>
      <c r="H207" s="14">
        <v>9710</v>
      </c>
      <c r="L207" s="1" t="b">
        <f t="shared" si="7"/>
        <v>0</v>
      </c>
      <c r="M207" s="1" t="b">
        <f t="shared" si="8"/>
        <v>0</v>
      </c>
    </row>
    <row r="208" spans="1:13" ht="9.75" customHeight="1" x14ac:dyDescent="0.15">
      <c r="A208" s="17" t="s">
        <v>534</v>
      </c>
      <c r="B208" s="12" t="s">
        <v>697</v>
      </c>
      <c r="C208" s="12" t="s">
        <v>698</v>
      </c>
      <c r="D208" s="13">
        <v>36.892780000000002</v>
      </c>
      <c r="E208" s="13">
        <v>14.42695</v>
      </c>
      <c r="F208" s="12" t="s">
        <v>699</v>
      </c>
      <c r="G208" s="12" t="s">
        <v>700</v>
      </c>
      <c r="H208" s="14">
        <v>10110</v>
      </c>
      <c r="L208" s="1" t="b">
        <f t="shared" si="7"/>
        <v>0</v>
      </c>
      <c r="M208" s="1" t="b">
        <f t="shared" si="8"/>
        <v>0</v>
      </c>
    </row>
    <row r="209" spans="1:13" ht="9.75" customHeight="1" x14ac:dyDescent="0.15">
      <c r="A209" s="17" t="s">
        <v>534</v>
      </c>
      <c r="B209" s="12" t="s">
        <v>701</v>
      </c>
      <c r="C209" s="12" t="s">
        <v>564</v>
      </c>
      <c r="D209" s="13">
        <v>36.719709999999999</v>
      </c>
      <c r="E209" s="13">
        <v>14.82169</v>
      </c>
      <c r="F209" s="12" t="s">
        <v>702</v>
      </c>
      <c r="G209" s="12" t="s">
        <v>703</v>
      </c>
      <c r="H209" s="14">
        <v>36174</v>
      </c>
      <c r="L209" s="1" t="b">
        <f t="shared" si="7"/>
        <v>0</v>
      </c>
      <c r="M209" s="1" t="b">
        <f t="shared" si="8"/>
        <v>0</v>
      </c>
    </row>
    <row r="210" spans="1:13" ht="9.75" customHeight="1" x14ac:dyDescent="0.15">
      <c r="A210" s="17" t="s">
        <v>534</v>
      </c>
      <c r="B210" s="12" t="s">
        <v>704</v>
      </c>
      <c r="C210" s="12" t="s">
        <v>705</v>
      </c>
      <c r="D210" s="13">
        <v>36.723739999999999</v>
      </c>
      <c r="E210" s="13">
        <v>15.115460000000001</v>
      </c>
      <c r="F210" s="12" t="s">
        <v>706</v>
      </c>
      <c r="G210" s="12" t="s">
        <v>707</v>
      </c>
      <c r="H210" s="14">
        <v>10000</v>
      </c>
      <c r="L210" s="1" t="b">
        <f t="shared" si="7"/>
        <v>0</v>
      </c>
      <c r="M210" s="1" t="b">
        <f t="shared" si="8"/>
        <v>0</v>
      </c>
    </row>
    <row r="211" spans="1:13" ht="9.75" customHeight="1" x14ac:dyDescent="0.15">
      <c r="A211" s="17" t="s">
        <v>534</v>
      </c>
      <c r="B211" s="12" t="s">
        <v>708</v>
      </c>
      <c r="C211" s="12" t="s">
        <v>709</v>
      </c>
      <c r="D211" s="13">
        <v>37.145980000000002</v>
      </c>
      <c r="E211" s="13">
        <v>15.21007</v>
      </c>
      <c r="F211" s="12" t="s">
        <v>710</v>
      </c>
      <c r="G211" s="12" t="s">
        <v>711</v>
      </c>
      <c r="H211" s="14">
        <v>34520</v>
      </c>
      <c r="L211" s="1" t="b">
        <f t="shared" si="7"/>
        <v>0</v>
      </c>
      <c r="M211" s="1" t="b">
        <f t="shared" si="8"/>
        <v>0</v>
      </c>
    </row>
    <row r="212" spans="1:13" ht="9.75" customHeight="1" x14ac:dyDescent="0.15">
      <c r="A212" s="17" t="s">
        <v>534</v>
      </c>
      <c r="B212" s="12" t="s">
        <v>712</v>
      </c>
      <c r="C212" s="12" t="s">
        <v>713</v>
      </c>
      <c r="D212" s="13">
        <v>37.581769999999999</v>
      </c>
      <c r="E212" s="13">
        <v>12.844849999999999</v>
      </c>
      <c r="F212" s="12" t="s">
        <v>714</v>
      </c>
      <c r="G212" s="12" t="s">
        <v>715</v>
      </c>
      <c r="H212" s="14">
        <v>10318</v>
      </c>
      <c r="L212" s="1" t="b">
        <f t="shared" si="7"/>
        <v>0</v>
      </c>
      <c r="M212" s="1" t="b">
        <f t="shared" si="8"/>
        <v>0</v>
      </c>
    </row>
    <row r="213" spans="1:13" ht="9.75" customHeight="1" x14ac:dyDescent="0.15">
      <c r="A213" s="17" t="s">
        <v>534</v>
      </c>
      <c r="B213" s="12" t="s">
        <v>716</v>
      </c>
      <c r="C213" s="12" t="s">
        <v>717</v>
      </c>
      <c r="D213" s="13">
        <v>37.654629999999997</v>
      </c>
      <c r="E213" s="13">
        <v>12.597099999999999</v>
      </c>
      <c r="F213" s="12" t="s">
        <v>718</v>
      </c>
      <c r="G213" s="12" t="s">
        <v>719</v>
      </c>
      <c r="H213" s="14">
        <v>26158</v>
      </c>
      <c r="L213" s="1" t="b">
        <f t="shared" si="7"/>
        <v>0</v>
      </c>
      <c r="M213" s="1" t="b">
        <f t="shared" si="8"/>
        <v>0</v>
      </c>
    </row>
    <row r="214" spans="1:13" ht="9.75" customHeight="1" x14ac:dyDescent="0.15">
      <c r="A214" s="17" t="s">
        <v>534</v>
      </c>
      <c r="B214" s="12" t="s">
        <v>720</v>
      </c>
      <c r="C214" s="12" t="s">
        <v>721</v>
      </c>
      <c r="D214" s="13">
        <v>36.828440000000001</v>
      </c>
      <c r="E214" s="13">
        <v>11.9361</v>
      </c>
      <c r="F214" s="12" t="s">
        <v>722</v>
      </c>
      <c r="G214" s="12" t="s">
        <v>723</v>
      </c>
      <c r="H214" s="14">
        <v>5905</v>
      </c>
      <c r="L214" s="1" t="b">
        <f t="shared" si="7"/>
        <v>0</v>
      </c>
      <c r="M214" s="1" t="b">
        <f t="shared" si="8"/>
        <v>0</v>
      </c>
    </row>
    <row r="215" spans="1:13" ht="9.75" customHeight="1" x14ac:dyDescent="0.15">
      <c r="A215" s="17" t="s">
        <v>534</v>
      </c>
      <c r="B215" s="12" t="s">
        <v>724</v>
      </c>
      <c r="C215" s="12" t="s">
        <v>725</v>
      </c>
      <c r="D215" s="13">
        <v>37.720140000000001</v>
      </c>
      <c r="E215" s="13">
        <v>12.47879</v>
      </c>
      <c r="F215" s="12" t="s">
        <v>726</v>
      </c>
      <c r="G215" s="12" t="s">
        <v>727</v>
      </c>
      <c r="H215" s="14">
        <v>23076</v>
      </c>
      <c r="L215" s="1" t="b">
        <f t="shared" si="7"/>
        <v>0</v>
      </c>
      <c r="M215" s="1" t="b">
        <f t="shared" si="8"/>
        <v>0</v>
      </c>
    </row>
    <row r="216" spans="1:13" ht="9.75" customHeight="1" x14ac:dyDescent="0.15">
      <c r="A216" s="17" t="s">
        <v>534</v>
      </c>
      <c r="B216" s="12" t="s">
        <v>728</v>
      </c>
      <c r="C216" s="12" t="s">
        <v>729</v>
      </c>
      <c r="D216" s="13">
        <v>38.174379999999999</v>
      </c>
      <c r="E216" s="13">
        <v>12.76923</v>
      </c>
      <c r="F216" s="12" t="s">
        <v>730</v>
      </c>
      <c r="G216" s="12" t="s">
        <v>731</v>
      </c>
      <c r="H216" s="14">
        <v>10032</v>
      </c>
      <c r="L216" s="1" t="b">
        <f t="shared" si="7"/>
        <v>0</v>
      </c>
      <c r="M216" s="1" t="b">
        <f t="shared" si="8"/>
        <v>0</v>
      </c>
    </row>
    <row r="217" spans="1:13" ht="9.75" customHeight="1" x14ac:dyDescent="0.15">
      <c r="A217" s="16" t="s">
        <v>732</v>
      </c>
      <c r="B217" s="12" t="s">
        <v>733</v>
      </c>
      <c r="C217" s="12" t="s">
        <v>734</v>
      </c>
      <c r="D217" s="13">
        <v>39.11947</v>
      </c>
      <c r="E217" s="13">
        <v>8.3699300000000001</v>
      </c>
      <c r="F217" s="12" t="s">
        <v>735</v>
      </c>
      <c r="G217" s="12" t="s">
        <v>736</v>
      </c>
      <c r="H217" s="14">
        <v>4364</v>
      </c>
      <c r="L217" s="1" t="b">
        <f t="shared" si="7"/>
        <v>0</v>
      </c>
      <c r="M217" s="1" t="b">
        <f t="shared" si="8"/>
        <v>0</v>
      </c>
    </row>
    <row r="218" spans="1:13" ht="9.75" customHeight="1" x14ac:dyDescent="0.15">
      <c r="A218" s="16" t="s">
        <v>732</v>
      </c>
      <c r="B218" s="12" t="s">
        <v>737</v>
      </c>
      <c r="C218" s="12" t="s">
        <v>738</v>
      </c>
      <c r="D218" s="13">
        <v>39.155079999999998</v>
      </c>
      <c r="E218" s="13">
        <v>8.3258299999999998</v>
      </c>
      <c r="F218" s="12" t="s">
        <v>739</v>
      </c>
      <c r="G218" s="12" t="s">
        <v>740</v>
      </c>
      <c r="H218" s="14">
        <v>8000</v>
      </c>
      <c r="L218" s="1" t="b">
        <f t="shared" si="7"/>
        <v>0</v>
      </c>
      <c r="M218" s="1" t="b">
        <f t="shared" si="8"/>
        <v>0</v>
      </c>
    </row>
    <row r="219" spans="1:13" ht="9.75" customHeight="1" x14ac:dyDescent="0.15">
      <c r="A219" s="16" t="s">
        <v>732</v>
      </c>
      <c r="B219" s="12" t="s">
        <v>741</v>
      </c>
      <c r="C219" s="12" t="s">
        <v>742</v>
      </c>
      <c r="D219" s="13">
        <v>39.163699999999999</v>
      </c>
      <c r="E219" s="13">
        <v>9.0410799999999991</v>
      </c>
      <c r="F219" s="12" t="s">
        <v>743</v>
      </c>
      <c r="G219" s="12" t="s">
        <v>744</v>
      </c>
      <c r="H219" s="14">
        <v>174198</v>
      </c>
      <c r="I219" s="3">
        <v>7</v>
      </c>
      <c r="L219" s="15">
        <f t="shared" si="7"/>
        <v>39.163699999999999</v>
      </c>
      <c r="M219" s="15">
        <f t="shared" si="8"/>
        <v>9.0410799999999991</v>
      </c>
    </row>
    <row r="220" spans="1:13" ht="9.75" customHeight="1" x14ac:dyDescent="0.15">
      <c r="A220" s="16" t="s">
        <v>732</v>
      </c>
      <c r="B220" s="12" t="s">
        <v>745</v>
      </c>
      <c r="C220" s="12" t="s">
        <v>746</v>
      </c>
      <c r="D220" s="13">
        <v>39.190899999999999</v>
      </c>
      <c r="E220" s="13">
        <v>8.3994499999999999</v>
      </c>
      <c r="F220" s="12" t="s">
        <v>747</v>
      </c>
      <c r="G220" s="12" t="s">
        <v>748</v>
      </c>
      <c r="H220" s="14">
        <v>6574</v>
      </c>
      <c r="L220" s="1" t="b">
        <f t="shared" si="7"/>
        <v>0</v>
      </c>
      <c r="M220" s="1" t="b">
        <f t="shared" si="8"/>
        <v>0</v>
      </c>
    </row>
    <row r="221" spans="1:13" ht="9.75" customHeight="1" x14ac:dyDescent="0.15">
      <c r="A221" s="16" t="s">
        <v>732</v>
      </c>
      <c r="B221" s="12" t="s">
        <v>749</v>
      </c>
      <c r="C221" s="12" t="s">
        <v>750</v>
      </c>
      <c r="D221" s="13">
        <v>39.038919999999997</v>
      </c>
      <c r="E221" s="13">
        <v>8.4602400000000006</v>
      </c>
      <c r="F221" s="12" t="s">
        <v>751</v>
      </c>
      <c r="G221" s="12" t="s">
        <v>752</v>
      </c>
      <c r="H221" s="14">
        <v>15765</v>
      </c>
      <c r="L221" s="1" t="b">
        <f t="shared" si="7"/>
        <v>0</v>
      </c>
      <c r="M221" s="1" t="b">
        <f t="shared" si="8"/>
        <v>0</v>
      </c>
    </row>
    <row r="222" spans="1:13" ht="9.75" customHeight="1" x14ac:dyDescent="0.15">
      <c r="A222" s="16" t="s">
        <v>732</v>
      </c>
      <c r="B222" s="12" t="s">
        <v>753</v>
      </c>
      <c r="C222" s="12" t="s">
        <v>754</v>
      </c>
      <c r="D222" s="13">
        <v>40.282260000000001</v>
      </c>
      <c r="E222" s="13">
        <v>9.6393599999999999</v>
      </c>
      <c r="F222" s="12" t="s">
        <v>755</v>
      </c>
      <c r="G222" s="12" t="s">
        <v>756</v>
      </c>
      <c r="H222" s="14">
        <v>14095</v>
      </c>
      <c r="L222" s="1" t="b">
        <f t="shared" si="7"/>
        <v>0</v>
      </c>
      <c r="M222" s="1" t="b">
        <f t="shared" si="8"/>
        <v>0</v>
      </c>
    </row>
    <row r="223" spans="1:13" ht="9.75" customHeight="1" x14ac:dyDescent="0.15">
      <c r="A223" s="16" t="s">
        <v>732</v>
      </c>
      <c r="B223" s="12" t="s">
        <v>757</v>
      </c>
      <c r="C223" s="12" t="s">
        <v>758</v>
      </c>
      <c r="D223" s="13">
        <v>40.607819999999997</v>
      </c>
      <c r="E223" s="13">
        <v>9.7981800000000003</v>
      </c>
      <c r="F223" s="12" t="s">
        <v>759</v>
      </c>
      <c r="G223" s="12" t="s">
        <v>760</v>
      </c>
      <c r="H223" s="14">
        <v>24613</v>
      </c>
      <c r="L223" s="1" t="b">
        <f t="shared" si="7"/>
        <v>0</v>
      </c>
      <c r="M223" s="1" t="b">
        <f t="shared" si="8"/>
        <v>0</v>
      </c>
    </row>
    <row r="224" spans="1:13" ht="9.75" customHeight="1" x14ac:dyDescent="0.15">
      <c r="A224" s="16" t="s">
        <v>732</v>
      </c>
      <c r="B224" s="12" t="s">
        <v>761</v>
      </c>
      <c r="C224" s="12" t="s">
        <v>762</v>
      </c>
      <c r="D224" s="13">
        <v>39.936140000000002</v>
      </c>
      <c r="E224" s="13">
        <v>9.6952700000000007</v>
      </c>
      <c r="F224" s="12" t="s">
        <v>763</v>
      </c>
      <c r="G224" s="12" t="s">
        <v>764</v>
      </c>
      <c r="H224" s="14">
        <v>29651</v>
      </c>
      <c r="L224" s="1" t="b">
        <f t="shared" si="7"/>
        <v>0</v>
      </c>
      <c r="M224" s="1" t="b">
        <f t="shared" si="8"/>
        <v>0</v>
      </c>
    </row>
    <row r="225" spans="1:13" ht="9.75" customHeight="1" x14ac:dyDescent="0.15">
      <c r="A225" s="16" t="s">
        <v>732</v>
      </c>
      <c r="B225" s="12" t="s">
        <v>765</v>
      </c>
      <c r="C225" s="12" t="s">
        <v>766</v>
      </c>
      <c r="D225" s="13">
        <v>39.868189999999998</v>
      </c>
      <c r="E225" s="13">
        <v>8.5607000000000006</v>
      </c>
      <c r="F225" s="12" t="s">
        <v>767</v>
      </c>
      <c r="G225" s="12" t="s">
        <v>768</v>
      </c>
      <c r="H225" s="14">
        <v>63865</v>
      </c>
      <c r="I225" s="3">
        <v>7</v>
      </c>
      <c r="L225" s="15">
        <f t="shared" si="7"/>
        <v>39.868189999999998</v>
      </c>
      <c r="M225" s="15">
        <f t="shared" si="8"/>
        <v>8.5607000000000006</v>
      </c>
    </row>
    <row r="226" spans="1:13" ht="9.75" customHeight="1" x14ac:dyDescent="0.15">
      <c r="A226" s="16" t="s">
        <v>732</v>
      </c>
      <c r="B226" s="12" t="s">
        <v>769</v>
      </c>
      <c r="C226" s="12" t="s">
        <v>770</v>
      </c>
      <c r="D226" s="13">
        <v>40.909849999999999</v>
      </c>
      <c r="E226" s="13">
        <v>8.6782800000000009</v>
      </c>
      <c r="F226" s="12" t="s">
        <v>771</v>
      </c>
      <c r="G226" s="12" t="s">
        <v>772</v>
      </c>
      <c r="H226" s="14">
        <v>5515</v>
      </c>
      <c r="L226" s="1" t="b">
        <f t="shared" si="7"/>
        <v>0</v>
      </c>
      <c r="M226" s="1" t="b">
        <f t="shared" si="8"/>
        <v>0</v>
      </c>
    </row>
    <row r="227" spans="1:13" ht="9.75" customHeight="1" x14ac:dyDescent="0.15">
      <c r="A227" s="16" t="s">
        <v>732</v>
      </c>
      <c r="B227" s="12" t="s">
        <v>773</v>
      </c>
      <c r="C227" s="12" t="s">
        <v>770</v>
      </c>
      <c r="D227" s="13">
        <v>40.920479999999998</v>
      </c>
      <c r="E227" s="13">
        <v>8.6788600000000002</v>
      </c>
      <c r="F227" s="12" t="s">
        <v>774</v>
      </c>
      <c r="G227" s="12" t="s">
        <v>775</v>
      </c>
      <c r="H227" s="14">
        <v>7847</v>
      </c>
      <c r="L227" s="1" t="b">
        <f t="shared" si="7"/>
        <v>0</v>
      </c>
      <c r="M227" s="1" t="b">
        <f t="shared" si="8"/>
        <v>0</v>
      </c>
    </row>
    <row r="228" spans="1:13" ht="9.75" customHeight="1" x14ac:dyDescent="0.15">
      <c r="A228" s="16" t="s">
        <v>732</v>
      </c>
      <c r="B228" s="12" t="s">
        <v>776</v>
      </c>
      <c r="C228" s="12" t="s">
        <v>777</v>
      </c>
      <c r="D228" s="13">
        <v>41.00723</v>
      </c>
      <c r="E228" s="13">
        <v>9.6227199999999993</v>
      </c>
      <c r="F228" s="12" t="s">
        <v>778</v>
      </c>
      <c r="G228" s="12" t="s">
        <v>779</v>
      </c>
      <c r="H228" s="14">
        <v>15236</v>
      </c>
      <c r="L228" s="1" t="b">
        <f t="shared" si="7"/>
        <v>0</v>
      </c>
      <c r="M228" s="1" t="b">
        <f t="shared" si="8"/>
        <v>0</v>
      </c>
    </row>
    <row r="229" spans="1:13" ht="9.75" customHeight="1" x14ac:dyDescent="0.15">
      <c r="A229" s="16" t="s">
        <v>732</v>
      </c>
      <c r="B229" s="12" t="s">
        <v>780</v>
      </c>
      <c r="C229" s="12" t="s">
        <v>781</v>
      </c>
      <c r="D229" s="13">
        <v>41.216459999999998</v>
      </c>
      <c r="E229" s="13">
        <v>9.4362200000000005</v>
      </c>
      <c r="F229" s="12" t="s">
        <v>782</v>
      </c>
      <c r="G229" s="12" t="s">
        <v>783</v>
      </c>
      <c r="H229" s="14">
        <v>26883</v>
      </c>
      <c r="L229" s="1" t="b">
        <f t="shared" si="7"/>
        <v>0</v>
      </c>
      <c r="M229" s="1" t="b">
        <f t="shared" si="8"/>
        <v>0</v>
      </c>
    </row>
    <row r="230" spans="1:13" ht="9.75" customHeight="1" x14ac:dyDescent="0.15">
      <c r="A230" s="16" t="s">
        <v>732</v>
      </c>
      <c r="B230" s="12" t="s">
        <v>784</v>
      </c>
      <c r="C230" s="12" t="s">
        <v>785</v>
      </c>
      <c r="D230" s="13">
        <v>40.926740000000002</v>
      </c>
      <c r="E230" s="13">
        <v>9.5243699999999993</v>
      </c>
      <c r="F230" s="12" t="s">
        <v>786</v>
      </c>
      <c r="G230" s="12" t="s">
        <v>787</v>
      </c>
      <c r="H230" s="14">
        <v>49198</v>
      </c>
      <c r="I230" s="3">
        <v>7</v>
      </c>
      <c r="L230" s="15">
        <f t="shared" si="7"/>
        <v>40.926740000000002</v>
      </c>
      <c r="M230" s="15">
        <f t="shared" si="8"/>
        <v>9.5243699999999993</v>
      </c>
    </row>
    <row r="231" spans="1:13" ht="9.75" customHeight="1" x14ac:dyDescent="0.15">
      <c r="A231" s="16" t="s">
        <v>732</v>
      </c>
      <c r="B231" s="12" t="s">
        <v>788</v>
      </c>
      <c r="C231" s="12" t="s">
        <v>789</v>
      </c>
      <c r="D231" s="13">
        <v>40.835079999999998</v>
      </c>
      <c r="E231" s="13">
        <v>8.3716600000000003</v>
      </c>
      <c r="F231" s="12" t="s">
        <v>790</v>
      </c>
      <c r="G231" s="12" t="s">
        <v>791</v>
      </c>
      <c r="H231" s="14">
        <v>349141</v>
      </c>
      <c r="I231" s="3">
        <v>7</v>
      </c>
      <c r="L231" s="15">
        <f t="shared" si="7"/>
        <v>40.835079999999998</v>
      </c>
      <c r="M231" s="15">
        <f t="shared" si="8"/>
        <v>8.3716600000000003</v>
      </c>
    </row>
    <row r="232" spans="1:13" ht="9.75" customHeight="1" x14ac:dyDescent="0.15">
      <c r="A232" s="16" t="s">
        <v>732</v>
      </c>
      <c r="B232" s="12" t="s">
        <v>792</v>
      </c>
      <c r="C232" s="12" t="s">
        <v>793</v>
      </c>
      <c r="D232" s="13">
        <v>41.24051</v>
      </c>
      <c r="E232" s="13">
        <v>9.1960200000000007</v>
      </c>
      <c r="F232" s="12" t="s">
        <v>794</v>
      </c>
      <c r="G232" s="12" t="s">
        <v>795</v>
      </c>
      <c r="H232" s="14">
        <v>47695</v>
      </c>
      <c r="I232" s="3">
        <v>7</v>
      </c>
      <c r="L232" s="15">
        <f t="shared" si="7"/>
        <v>41.24051</v>
      </c>
      <c r="M232" s="15">
        <f t="shared" si="8"/>
        <v>9.1960200000000007</v>
      </c>
    </row>
    <row r="233" spans="1:13" ht="9.75" customHeight="1" x14ac:dyDescent="0.15">
      <c r="A233" s="16" t="s">
        <v>732</v>
      </c>
      <c r="B233" s="12" t="s">
        <v>796</v>
      </c>
      <c r="C233" s="12" t="s">
        <v>797</v>
      </c>
      <c r="D233" s="13">
        <v>40.81615</v>
      </c>
      <c r="E233" s="13">
        <v>8.5656400000000001</v>
      </c>
      <c r="F233" s="12" t="s">
        <v>798</v>
      </c>
      <c r="G233" s="12" t="s">
        <v>799</v>
      </c>
      <c r="H233" s="14">
        <v>30199</v>
      </c>
      <c r="I233" s="3">
        <v>7</v>
      </c>
      <c r="L233" s="15">
        <f t="shared" si="7"/>
        <v>40.81615</v>
      </c>
      <c r="M233" s="15">
        <f t="shared" si="8"/>
        <v>8.5656400000000001</v>
      </c>
    </row>
    <row r="234" spans="1:13" ht="9.75" customHeight="1" x14ac:dyDescent="0.15">
      <c r="A234" s="16" t="s">
        <v>732</v>
      </c>
      <c r="B234" s="12" t="s">
        <v>800</v>
      </c>
      <c r="C234" s="12" t="s">
        <v>801</v>
      </c>
      <c r="D234" s="13">
        <v>41.017060000000001</v>
      </c>
      <c r="E234" s="13">
        <v>8.8574300000000008</v>
      </c>
      <c r="F234" s="12" t="s">
        <v>802</v>
      </c>
      <c r="G234" s="12" t="s">
        <v>803</v>
      </c>
      <c r="H234" s="14">
        <v>4550</v>
      </c>
      <c r="L234" s="1" t="b">
        <f t="shared" si="7"/>
        <v>0</v>
      </c>
      <c r="M234" s="1" t="b">
        <f t="shared" si="8"/>
        <v>0</v>
      </c>
    </row>
    <row r="235" spans="1:13" ht="9.75" customHeight="1" x14ac:dyDescent="0.15">
      <c r="A235" s="16" t="s">
        <v>732</v>
      </c>
      <c r="B235" s="12" t="s">
        <v>804</v>
      </c>
      <c r="C235" s="12" t="s">
        <v>770</v>
      </c>
      <c r="D235" s="13">
        <v>40.929679999999998</v>
      </c>
      <c r="E235" s="13">
        <v>8.7192399999999992</v>
      </c>
      <c r="F235" s="12" t="s">
        <v>805</v>
      </c>
      <c r="G235" s="12" t="s">
        <v>806</v>
      </c>
      <c r="H235" s="14">
        <v>7848</v>
      </c>
      <c r="L235" s="1" t="b">
        <f t="shared" si="7"/>
        <v>0</v>
      </c>
      <c r="M235" s="1" t="b">
        <f t="shared" si="8"/>
        <v>0</v>
      </c>
    </row>
    <row r="236" spans="1:13" ht="9.75" customHeight="1" x14ac:dyDescent="0.15">
      <c r="A236" s="16" t="s">
        <v>732</v>
      </c>
      <c r="B236" s="12" t="s">
        <v>807</v>
      </c>
      <c r="C236" s="12" t="s">
        <v>808</v>
      </c>
      <c r="D236" s="13">
        <v>41.13496</v>
      </c>
      <c r="E236" s="13">
        <v>9.5430499999999991</v>
      </c>
      <c r="F236" s="12" t="s">
        <v>809</v>
      </c>
      <c r="G236" s="12" t="s">
        <v>810</v>
      </c>
      <c r="H236" s="14">
        <v>10456</v>
      </c>
      <c r="L236" s="1" t="b">
        <f t="shared" si="7"/>
        <v>0</v>
      </c>
      <c r="M236" s="1" t="b">
        <f t="shared" si="8"/>
        <v>0</v>
      </c>
    </row>
    <row r="237" spans="1:13" ht="9.75" customHeight="1" x14ac:dyDescent="0.15">
      <c r="A237" s="16" t="s">
        <v>732</v>
      </c>
      <c r="B237" s="12" t="s">
        <v>811</v>
      </c>
      <c r="C237" s="12" t="s">
        <v>812</v>
      </c>
      <c r="D237" s="13">
        <v>41.117060000000002</v>
      </c>
      <c r="E237" s="13">
        <v>9.5411099999999998</v>
      </c>
      <c r="F237" s="12" t="s">
        <v>813</v>
      </c>
      <c r="G237" s="12" t="s">
        <v>814</v>
      </c>
      <c r="H237" s="14">
        <v>1600</v>
      </c>
      <c r="L237" s="1" t="b">
        <f t="shared" si="7"/>
        <v>0</v>
      </c>
      <c r="M237" s="1" t="b">
        <f t="shared" si="8"/>
        <v>0</v>
      </c>
    </row>
    <row r="238" spans="1:13" ht="9.75" customHeight="1" x14ac:dyDescent="0.15"/>
  </sheetData>
  <pageMargins left="0.7" right="0.7" top="0.75" bottom="0.75" header="0.511811023622047" footer="0.511811023622047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Table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Massimo Peleggi</dc:creator>
  <dc:description/>
  <cp:lastModifiedBy>COSSARINI GIANPIERO</cp:lastModifiedBy>
  <cp:revision>2</cp:revision>
  <dcterms:created xsi:type="dcterms:W3CDTF">2024-07-26T08:02:03Z</dcterms:created>
  <dcterms:modified xsi:type="dcterms:W3CDTF">2025-06-19T16:16:29Z</dcterms:modified>
  <dc:language>en-US</dc:language>
</cp:coreProperties>
</file>